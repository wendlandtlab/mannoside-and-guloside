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amoulton/Desktop/Research/my excel workbooks/"/>
    </mc:Choice>
  </mc:AlternateContent>
  <xr:revisionPtr revIDLastSave="0" documentId="8_{445ACFD4-54F1-384C-93ED-287B3EADB989}" xr6:coauthVersionLast="47" xr6:coauthVersionMax="47" xr10:uidLastSave="{00000000-0000-0000-0000-000000000000}"/>
  <bookViews>
    <workbookView xWindow="6760" yWindow="5060" windowWidth="26840" windowHeight="15940" xr2:uid="{3BFE9A81-47C7-4047-AB8D-2AE4DE6217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<sst xmlns="http://schemas.openxmlformats.org/spreadsheetml/2006/main" count="7" uniqueCount="7">
  <si>
    <t>time_in_h</t>
  </si>
  <si>
    <t>Time</t>
  </si>
  <si>
    <t>Run</t>
  </si>
  <si>
    <t>glucoside</t>
  </si>
  <si>
    <t>alloside</t>
  </si>
  <si>
    <t>mannoside</t>
  </si>
  <si>
    <t>mass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</si>
</sst>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2D71-8DB8-9742-B5E2-AB0FD820E039}">
  <dimension ref="A1:G24"/>
  <sheetViews>
    <sheetView tabSelected="1" workbookViewId="0">
      <selection activeCell="E10" sqref="E1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f>A2*60</f>
        <v>0</v>
      </c>
      <c r="C2">
        <v>1</v>
      </c>
      <c r="D2">
        <v>100</v>
      </c>
      <c r="E2">
        <v>0</v>
      </c>
      <c r="F2">
        <v>0</v>
      </c>
      <c r="G2">
        <v>100</v>
      </c>
    </row>
    <row r="3" spans="1:7" x14ac:dyDescent="0.2">
      <c r="A3">
        <v>0.5</v>
      </c>
      <c r="B3">
        <f t="shared" ref="B3:B12" si="0">A3*60</f>
        <v>30</v>
      </c>
      <c r="C3">
        <v>1</v>
      </c>
      <c r="D3">
        <v>83</v>
      </c>
      <c r="E3">
        <v>2</v>
      </c>
      <c r="F3">
        <v>17</v>
      </c>
      <c r="G3">
        <v>102</v>
      </c>
    </row>
    <row r="4" spans="1:7" x14ac:dyDescent="0.2">
      <c r="A4">
        <v>1</v>
      </c>
      <c r="B4">
        <f t="shared" si="0"/>
        <v>60</v>
      </c>
      <c r="C4">
        <v>1</v>
      </c>
      <c r="D4">
        <v>67</v>
      </c>
      <c r="E4">
        <v>3</v>
      </c>
      <c r="F4">
        <v>31</v>
      </c>
      <c r="G4">
        <v>101</v>
      </c>
    </row>
    <row r="5" spans="1:7" x14ac:dyDescent="0.2">
      <c r="A5">
        <v>1.5</v>
      </c>
      <c r="B5">
        <f t="shared" si="0"/>
        <v>90</v>
      </c>
      <c r="C5">
        <v>1</v>
      </c>
      <c r="D5">
        <v>54</v>
      </c>
      <c r="E5">
        <v>4</v>
      </c>
      <c r="F5">
        <v>42</v>
      </c>
      <c r="G5">
        <v>100</v>
      </c>
    </row>
    <row r="6" spans="1:7" x14ac:dyDescent="0.2">
      <c r="A6">
        <v>3</v>
      </c>
      <c r="B6">
        <f t="shared" si="0"/>
        <v>180</v>
      </c>
      <c r="C6">
        <v>1</v>
      </c>
      <c r="D6">
        <v>34</v>
      </c>
      <c r="E6">
        <v>6</v>
      </c>
      <c r="F6">
        <v>61</v>
      </c>
      <c r="G6">
        <v>101</v>
      </c>
    </row>
    <row r="7" spans="1:7" x14ac:dyDescent="0.2">
      <c r="A7">
        <v>4.5</v>
      </c>
      <c r="B7">
        <f t="shared" si="0"/>
        <v>270</v>
      </c>
      <c r="C7">
        <v>1</v>
      </c>
      <c r="D7">
        <v>25</v>
      </c>
      <c r="E7">
        <v>6</v>
      </c>
      <c r="F7">
        <v>67</v>
      </c>
      <c r="G7">
        <v>98</v>
      </c>
    </row>
    <row r="8" spans="1:7" x14ac:dyDescent="0.2">
      <c r="A8">
        <v>6</v>
      </c>
      <c r="B8">
        <f t="shared" si="0"/>
        <v>360</v>
      </c>
      <c r="C8">
        <v>1</v>
      </c>
      <c r="D8">
        <v>23</v>
      </c>
      <c r="E8">
        <v>6</v>
      </c>
      <c r="F8">
        <v>64</v>
      </c>
      <c r="G8">
        <v>93</v>
      </c>
    </row>
    <row r="9" spans="1:7" x14ac:dyDescent="0.2">
      <c r="A9">
        <v>8</v>
      </c>
      <c r="B9">
        <f t="shared" si="0"/>
        <v>480</v>
      </c>
      <c r="C9">
        <v>1</v>
      </c>
      <c r="D9">
        <v>21</v>
      </c>
      <c r="E9">
        <v>6</v>
      </c>
      <c r="F9">
        <v>68</v>
      </c>
      <c r="G9">
        <v>95</v>
      </c>
    </row>
    <row r="10" spans="1:7" x14ac:dyDescent="0.2">
      <c r="A10">
        <v>10</v>
      </c>
      <c r="B10">
        <f t="shared" si="0"/>
        <v>600</v>
      </c>
      <c r="C10">
        <v>1</v>
      </c>
      <c r="D10">
        <v>22</v>
      </c>
      <c r="E10">
        <v>6</v>
      </c>
      <c r="F10">
        <v>71</v>
      </c>
      <c r="G10">
        <v>99</v>
      </c>
    </row>
    <row r="11" spans="1:7" x14ac:dyDescent="0.2">
      <c r="A11">
        <v>24</v>
      </c>
      <c r="B11">
        <f t="shared" si="0"/>
        <v>1440</v>
      </c>
      <c r="C11">
        <v>1</v>
      </c>
      <c r="D11">
        <v>24</v>
      </c>
      <c r="E11">
        <v>5</v>
      </c>
      <c r="F11">
        <v>69</v>
      </c>
      <c r="G11">
        <v>98</v>
      </c>
    </row>
    <row r="12" spans="1:7" x14ac:dyDescent="0.2">
      <c r="A12">
        <v>48</v>
      </c>
      <c r="B12">
        <f t="shared" si="0"/>
        <v>2880</v>
      </c>
      <c r="C12">
        <v>1</v>
      </c>
      <c r="D12">
        <v>24</v>
      </c>
      <c r="E12">
        <v>5</v>
      </c>
      <c r="F12">
        <v>66</v>
      </c>
      <c r="G12">
        <v>95</v>
      </c>
    </row>
    <row r="13" spans="1:7" x14ac:dyDescent="0.2">
      <c r="A13">
        <v>0</v>
      </c>
      <c r="B13">
        <f>A13*60</f>
        <v>0</v>
      </c>
      <c r="C13">
        <v>2</v>
      </c>
      <c r="D13">
        <v>5</v>
      </c>
      <c r="E13">
        <v>14</v>
      </c>
      <c r="F13">
        <v>81</v>
      </c>
      <c r="G13">
        <f>+SUM(D13:F13)</f>
        <v>100</v>
      </c>
    </row>
    <row r="14" spans="1:7" x14ac:dyDescent="0.2">
      <c r="A14">
        <v>1</v>
      </c>
      <c r="B14">
        <f t="shared" ref="B14:B18" si="1">A14*60</f>
        <v>60</v>
      </c>
      <c r="C14">
        <v>2</v>
      </c>
      <c r="D14">
        <v>10</v>
      </c>
      <c r="E14">
        <v>13</v>
      </c>
      <c r="F14">
        <v>73</v>
      </c>
      <c r="G14">
        <f>SUM(D14:F14)</f>
        <v>96</v>
      </c>
    </row>
    <row r="15" spans="1:7" x14ac:dyDescent="0.2">
      <c r="A15">
        <v>2.5</v>
      </c>
      <c r="B15">
        <f t="shared" si="1"/>
        <v>150</v>
      </c>
      <c r="C15">
        <v>2</v>
      </c>
      <c r="D15">
        <v>16</v>
      </c>
      <c r="E15">
        <v>13</v>
      </c>
      <c r="F15">
        <v>77</v>
      </c>
      <c r="G15">
        <f>SUM(D15:F15)</f>
        <v>106</v>
      </c>
    </row>
    <row r="16" spans="1:7" x14ac:dyDescent="0.2">
      <c r="A16">
        <v>5</v>
      </c>
      <c r="B16">
        <f t="shared" si="1"/>
        <v>300</v>
      </c>
      <c r="C16">
        <v>2</v>
      </c>
      <c r="D16">
        <v>21</v>
      </c>
      <c r="E16">
        <v>11</v>
      </c>
      <c r="F16">
        <v>69</v>
      </c>
      <c r="G16">
        <f>SUM(D16:F16)</f>
        <v>101</v>
      </c>
    </row>
    <row r="17" spans="1:7" x14ac:dyDescent="0.2">
      <c r="A17">
        <v>9.75</v>
      </c>
      <c r="B17">
        <f t="shared" si="1"/>
        <v>585</v>
      </c>
      <c r="C17">
        <v>2</v>
      </c>
      <c r="D17">
        <v>24</v>
      </c>
      <c r="E17">
        <v>11</v>
      </c>
      <c r="F17">
        <v>68</v>
      </c>
      <c r="G17">
        <f>SUM(D17:F17)</f>
        <v>103</v>
      </c>
    </row>
    <row r="18" spans="1:7" x14ac:dyDescent="0.2">
      <c r="A18">
        <v>18</v>
      </c>
      <c r="B18">
        <f t="shared" si="1"/>
        <v>1080</v>
      </c>
      <c r="C18">
        <v>2</v>
      </c>
      <c r="D18">
        <v>32</v>
      </c>
      <c r="E18">
        <v>8</v>
      </c>
      <c r="F18">
        <v>59</v>
      </c>
      <c r="G18">
        <f>SUM(D18:F18)</f>
        <v>99</v>
      </c>
    </row>
    <row r="19" spans="1:7" x14ac:dyDescent="0.2">
      <c r="A19">
        <v>0</v>
      </c>
      <c r="B19">
        <f>A19*60</f>
        <v>0</v>
      </c>
      <c r="C19">
        <v>3</v>
      </c>
      <c r="D19">
        <v>53</v>
      </c>
      <c r="E19">
        <v>0</v>
      </c>
      <c r="F19">
        <v>47</v>
      </c>
      <c r="G19">
        <f>+SUM(D19:F19)</f>
        <v>100</v>
      </c>
    </row>
    <row r="20" spans="1:7" x14ac:dyDescent="0.2">
      <c r="A20">
        <v>1</v>
      </c>
      <c r="B20">
        <f t="shared" ref="B20:B24" si="2">A20*60</f>
        <v>60</v>
      </c>
      <c r="C20">
        <v>3</v>
      </c>
      <c r="D20">
        <v>43</v>
      </c>
      <c r="E20">
        <v>2</v>
      </c>
      <c r="F20">
        <v>51</v>
      </c>
      <c r="G20">
        <f>SUM(D20:F20)</f>
        <v>96</v>
      </c>
    </row>
    <row r="21" spans="1:7" x14ac:dyDescent="0.2">
      <c r="A21">
        <v>2.5</v>
      </c>
      <c r="B21">
        <f t="shared" si="2"/>
        <v>150</v>
      </c>
      <c r="C21">
        <v>3</v>
      </c>
      <c r="D21">
        <v>35</v>
      </c>
      <c r="E21">
        <v>3</v>
      </c>
      <c r="F21">
        <v>63</v>
      </c>
      <c r="G21">
        <f>SUM(D21:F21)</f>
        <v>101</v>
      </c>
    </row>
    <row r="22" spans="1:7" x14ac:dyDescent="0.2">
      <c r="A22">
        <v>5</v>
      </c>
      <c r="B22">
        <f t="shared" si="2"/>
        <v>300</v>
      </c>
      <c r="C22">
        <v>3</v>
      </c>
      <c r="D22">
        <v>30</v>
      </c>
      <c r="E22">
        <v>4</v>
      </c>
      <c r="F22">
        <v>66</v>
      </c>
      <c r="G22">
        <f>SUM(D22:F22)</f>
        <v>100</v>
      </c>
    </row>
    <row r="23" spans="1:7" x14ac:dyDescent="0.2">
      <c r="A23">
        <v>9.75</v>
      </c>
      <c r="B23">
        <f t="shared" si="2"/>
        <v>585</v>
      </c>
      <c r="C23">
        <v>3</v>
      </c>
      <c r="D23">
        <v>27</v>
      </c>
      <c r="E23">
        <v>5</v>
      </c>
      <c r="F23">
        <v>71</v>
      </c>
      <c r="G23">
        <f>SUM(D23:F23)</f>
        <v>103</v>
      </c>
    </row>
    <row r="24" spans="1:7" x14ac:dyDescent="0.2">
      <c r="A24">
        <v>18</v>
      </c>
      <c r="B24">
        <f t="shared" si="2"/>
        <v>1080</v>
      </c>
      <c r="C24">
        <v>3</v>
      </c>
      <c r="D24">
        <v>29</v>
      </c>
      <c r="E24">
        <v>5</v>
      </c>
      <c r="F24">
        <v>62</v>
      </c>
      <c r="G24">
        <f>SUM(D24:F24)</f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Moulton</dc:creator>
  <cp:lastModifiedBy>Kara Moulton</cp:lastModifiedBy>
  <dcterms:created xsi:type="dcterms:W3CDTF">2026-02-13T17:31:11Z</dcterms:created>
  <dcterms:modified xsi:type="dcterms:W3CDTF">2026-03-18T21:14:44Z</dcterms:modified>
</cp:coreProperties>
</file>