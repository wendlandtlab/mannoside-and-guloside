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ulton/Downloads/"/>
    </mc:Choice>
  </mc:AlternateContent>
  <xr:revisionPtr revIDLastSave="0" documentId="13_ncr:1_{A73D28DC-D14C-1F45-B25A-E51B6634AB55}" xr6:coauthVersionLast="47" xr6:coauthVersionMax="47" xr10:uidLastSave="{00000000-0000-0000-0000-000000000000}"/>
  <bookViews>
    <workbookView xWindow="10780" yWindow="30300" windowWidth="21620" windowHeight="13680" xr2:uid="{A00AD8A5-497E-5D44-890C-FEB8265C5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8" i="1"/>
  <c r="H19" i="1"/>
  <c r="H20" i="1"/>
  <c r="H21" i="1"/>
  <c r="G16" i="1"/>
  <c r="G17" i="1"/>
  <c r="G18" i="1"/>
  <c r="G19" i="1"/>
  <c r="G20" i="1"/>
  <c r="G21" i="1"/>
  <c r="F16" i="1"/>
  <c r="F17" i="1"/>
  <c r="F18" i="1"/>
  <c r="F19" i="1"/>
  <c r="F20" i="1"/>
  <c r="F21" i="1"/>
  <c r="E16" i="1"/>
  <c r="E17" i="1"/>
  <c r="E18" i="1"/>
  <c r="E19" i="1"/>
  <c r="E20" i="1"/>
  <c r="E21" i="1"/>
  <c r="D16" i="1"/>
  <c r="D17" i="1"/>
  <c r="D18" i="1"/>
  <c r="D19" i="1"/>
  <c r="D20" i="1"/>
  <c r="D21" i="1"/>
  <c r="H15" i="1"/>
  <c r="G15" i="1"/>
  <c r="F15" i="1"/>
  <c r="E15" i="1"/>
  <c r="D15" i="1"/>
  <c r="D14" i="1"/>
  <c r="J15" i="1"/>
  <c r="J16" i="1"/>
  <c r="J17" i="1"/>
  <c r="J18" i="1"/>
  <c r="J19" i="1"/>
  <c r="J20" i="1"/>
  <c r="J21" i="1"/>
  <c r="J14" i="1"/>
  <c r="B21" i="1"/>
  <c r="B20" i="1"/>
  <c r="B19" i="1"/>
  <c r="B18" i="1"/>
  <c r="B17" i="1"/>
  <c r="B16" i="1"/>
  <c r="B15" i="1"/>
  <c r="B14" i="1"/>
  <c r="I9" i="1"/>
  <c r="B9" i="1"/>
  <c r="I8" i="1"/>
  <c r="B8" i="1"/>
  <c r="I7" i="1"/>
  <c r="B7" i="1"/>
  <c r="I6" i="1"/>
  <c r="B6" i="1"/>
  <c r="I5" i="1"/>
  <c r="B5" i="1"/>
  <c r="I4" i="1"/>
  <c r="B4" i="1"/>
  <c r="I3" i="1"/>
  <c r="B3" i="1"/>
  <c r="I2" i="1"/>
  <c r="B2" i="1"/>
</calcChain>
</file>

<file path=xl/sharedStrings.xml><?xml version="1.0" encoding="utf-8"?>
<sst xmlns="http://schemas.openxmlformats.org/spreadsheetml/2006/main" count="20" uniqueCount="11">
  <si>
    <t>time_in_h</t>
  </si>
  <si>
    <t>Time</t>
  </si>
  <si>
    <t>Run</t>
  </si>
  <si>
    <t>glucoside</t>
  </si>
  <si>
    <t>alloside</t>
  </si>
  <si>
    <t>mannoside</t>
  </si>
  <si>
    <t>taloside</t>
  </si>
  <si>
    <t>galactoside</t>
  </si>
  <si>
    <t>mass balance</t>
  </si>
  <si>
    <t>normalized to 100% mass balance</t>
  </si>
  <si>
    <t>norm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</si>
</sst>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8661-48D9-1A40-B6BB-56917A7F22FA}">
  <dimension ref="A1:J21"/>
  <sheetViews>
    <sheetView tabSelected="1" workbookViewId="0">
      <selection activeCell="J5" sqref="J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">
      <c r="A2">
        <v>0</v>
      </c>
      <c r="B2">
        <f>A2*60</f>
        <v>0</v>
      </c>
      <c r="C2">
        <v>1</v>
      </c>
      <c r="D2">
        <v>100</v>
      </c>
      <c r="E2">
        <v>0</v>
      </c>
      <c r="F2">
        <v>0</v>
      </c>
      <c r="G2">
        <v>0</v>
      </c>
      <c r="H2">
        <v>0</v>
      </c>
      <c r="I2">
        <f>+SUM(D2:H2)</f>
        <v>100</v>
      </c>
    </row>
    <row r="3" spans="1:10" x14ac:dyDescent="0.2">
      <c r="A3">
        <v>0.5</v>
      </c>
      <c r="B3">
        <f t="shared" ref="B3:B9" si="0">A3*60</f>
        <v>30</v>
      </c>
      <c r="C3">
        <v>1</v>
      </c>
      <c r="D3">
        <v>51</v>
      </c>
      <c r="E3">
        <v>23</v>
      </c>
      <c r="F3">
        <v>11</v>
      </c>
      <c r="G3">
        <v>10</v>
      </c>
      <c r="H3">
        <v>3</v>
      </c>
      <c r="I3">
        <f>SUM(D3:H3)</f>
        <v>98</v>
      </c>
    </row>
    <row r="4" spans="1:10" x14ac:dyDescent="0.2">
      <c r="A4">
        <v>1.5</v>
      </c>
      <c r="B4">
        <f t="shared" si="0"/>
        <v>90</v>
      </c>
      <c r="C4">
        <v>1</v>
      </c>
      <c r="D4">
        <v>22</v>
      </c>
      <c r="E4">
        <v>23</v>
      </c>
      <c r="F4">
        <v>8</v>
      </c>
      <c r="G4">
        <v>37</v>
      </c>
      <c r="H4">
        <v>3</v>
      </c>
      <c r="I4">
        <f>SUM(D4:H4)</f>
        <v>93</v>
      </c>
    </row>
    <row r="5" spans="1:10" x14ac:dyDescent="0.2">
      <c r="A5">
        <v>3</v>
      </c>
      <c r="B5">
        <f t="shared" si="0"/>
        <v>180</v>
      </c>
      <c r="C5">
        <v>1</v>
      </c>
      <c r="D5">
        <v>11</v>
      </c>
      <c r="E5">
        <v>13</v>
      </c>
      <c r="F5">
        <v>4</v>
      </c>
      <c r="G5">
        <v>57</v>
      </c>
      <c r="H5">
        <v>2</v>
      </c>
      <c r="I5">
        <f t="shared" ref="I5:I9" si="1">SUM(D5:H5)</f>
        <v>87</v>
      </c>
    </row>
    <row r="6" spans="1:10" x14ac:dyDescent="0.2">
      <c r="A6">
        <v>5</v>
      </c>
      <c r="B6">
        <f t="shared" si="0"/>
        <v>300</v>
      </c>
      <c r="C6">
        <v>1</v>
      </c>
      <c r="D6">
        <v>6</v>
      </c>
      <c r="E6">
        <v>6</v>
      </c>
      <c r="F6">
        <v>2</v>
      </c>
      <c r="G6">
        <v>66</v>
      </c>
      <c r="H6">
        <v>2</v>
      </c>
      <c r="I6">
        <f t="shared" si="1"/>
        <v>82</v>
      </c>
    </row>
    <row r="7" spans="1:10" x14ac:dyDescent="0.2">
      <c r="A7">
        <v>7</v>
      </c>
      <c r="B7">
        <f t="shared" si="0"/>
        <v>420</v>
      </c>
      <c r="C7">
        <v>1</v>
      </c>
      <c r="D7">
        <v>5</v>
      </c>
      <c r="E7">
        <v>6</v>
      </c>
      <c r="F7">
        <v>2</v>
      </c>
      <c r="G7">
        <v>69</v>
      </c>
      <c r="H7">
        <v>3</v>
      </c>
      <c r="I7">
        <f t="shared" si="1"/>
        <v>85</v>
      </c>
    </row>
    <row r="8" spans="1:10" x14ac:dyDescent="0.2">
      <c r="A8">
        <v>9.3699999999999992</v>
      </c>
      <c r="B8">
        <f t="shared" si="0"/>
        <v>562.19999999999993</v>
      </c>
      <c r="C8">
        <v>1</v>
      </c>
      <c r="D8">
        <v>4</v>
      </c>
      <c r="E8">
        <v>5</v>
      </c>
      <c r="F8">
        <v>2</v>
      </c>
      <c r="G8">
        <v>68</v>
      </c>
      <c r="H8">
        <v>2</v>
      </c>
      <c r="I8">
        <f t="shared" si="1"/>
        <v>81</v>
      </c>
    </row>
    <row r="9" spans="1:10" x14ac:dyDescent="0.2">
      <c r="A9">
        <v>22.5</v>
      </c>
      <c r="B9">
        <f t="shared" si="0"/>
        <v>1350</v>
      </c>
      <c r="C9">
        <v>1</v>
      </c>
      <c r="D9">
        <v>3</v>
      </c>
      <c r="E9">
        <v>2</v>
      </c>
      <c r="F9">
        <v>2</v>
      </c>
      <c r="G9">
        <v>69</v>
      </c>
      <c r="H9">
        <v>2</v>
      </c>
      <c r="I9">
        <f t="shared" si="1"/>
        <v>78</v>
      </c>
    </row>
    <row r="12" spans="1:10" x14ac:dyDescent="0.2">
      <c r="A12" t="s">
        <v>9</v>
      </c>
    </row>
    <row r="13" spans="1:10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10</v>
      </c>
    </row>
    <row r="14" spans="1:10" x14ac:dyDescent="0.2">
      <c r="A14">
        <v>0</v>
      </c>
      <c r="B14">
        <f>A14*60</f>
        <v>0</v>
      </c>
      <c r="C14">
        <v>1</v>
      </c>
      <c r="D14">
        <f>D2*J14</f>
        <v>100</v>
      </c>
      <c r="E14">
        <v>0</v>
      </c>
      <c r="F14">
        <v>0</v>
      </c>
      <c r="G14">
        <v>0</v>
      </c>
      <c r="H14">
        <v>0</v>
      </c>
      <c r="I14">
        <v>100</v>
      </c>
      <c r="J14">
        <f>100/I2</f>
        <v>1</v>
      </c>
    </row>
    <row r="15" spans="1:10" x14ac:dyDescent="0.2">
      <c r="A15">
        <v>0.5</v>
      </c>
      <c r="B15">
        <f t="shared" ref="B15:B21" si="2">A15*60</f>
        <v>30</v>
      </c>
      <c r="C15">
        <v>1</v>
      </c>
      <c r="D15">
        <f>D3*J15</f>
        <v>52.04081632653061</v>
      </c>
      <c r="E15">
        <f>E3*J15</f>
        <v>23.469387755102041</v>
      </c>
      <c r="F15">
        <f>F3*J15</f>
        <v>11.224489795918368</v>
      </c>
      <c r="G15">
        <f>G3*J15</f>
        <v>10.204081632653061</v>
      </c>
      <c r="H15">
        <f>H3*J15</f>
        <v>3.0612244897959187</v>
      </c>
      <c r="I15">
        <v>100</v>
      </c>
      <c r="J15">
        <f t="shared" ref="J15:J21" si="3">100/I3</f>
        <v>1.0204081632653061</v>
      </c>
    </row>
    <row r="16" spans="1:10" x14ac:dyDescent="0.2">
      <c r="A16">
        <v>1.5</v>
      </c>
      <c r="B16">
        <f t="shared" si="2"/>
        <v>90</v>
      </c>
      <c r="C16">
        <v>1</v>
      </c>
      <c r="D16">
        <f t="shared" ref="D16:D21" si="4">D4*J16</f>
        <v>23.655913978494624</v>
      </c>
      <c r="E16">
        <f t="shared" ref="E16:E21" si="5">E4*J16</f>
        <v>24.731182795698924</v>
      </c>
      <c r="F16">
        <f t="shared" ref="F16:F21" si="6">F4*J16</f>
        <v>8.6021505376344081</v>
      </c>
      <c r="G16">
        <f t="shared" ref="G16:G21" si="7">G4*J16</f>
        <v>39.784946236559136</v>
      </c>
      <c r="H16">
        <f t="shared" ref="H16:H21" si="8">H4*J16</f>
        <v>3.225806451612903</v>
      </c>
      <c r="I16">
        <v>100</v>
      </c>
      <c r="J16">
        <f t="shared" si="3"/>
        <v>1.075268817204301</v>
      </c>
    </row>
    <row r="17" spans="1:10" x14ac:dyDescent="0.2">
      <c r="A17">
        <v>3</v>
      </c>
      <c r="B17">
        <f t="shared" si="2"/>
        <v>180</v>
      </c>
      <c r="C17">
        <v>1</v>
      </c>
      <c r="D17">
        <f t="shared" si="4"/>
        <v>12.643678160919539</v>
      </c>
      <c r="E17">
        <f t="shared" si="5"/>
        <v>14.942528735632184</v>
      </c>
      <c r="F17">
        <f t="shared" si="6"/>
        <v>4.5977011494252871</v>
      </c>
      <c r="G17">
        <f t="shared" si="7"/>
        <v>65.517241379310335</v>
      </c>
      <c r="H17">
        <f t="shared" si="8"/>
        <v>2.2988505747126435</v>
      </c>
      <c r="I17">
        <v>100</v>
      </c>
      <c r="J17">
        <f t="shared" si="3"/>
        <v>1.1494252873563218</v>
      </c>
    </row>
    <row r="18" spans="1:10" x14ac:dyDescent="0.2">
      <c r="A18">
        <v>5</v>
      </c>
      <c r="B18">
        <f t="shared" si="2"/>
        <v>300</v>
      </c>
      <c r="C18">
        <v>1</v>
      </c>
      <c r="D18">
        <f t="shared" si="4"/>
        <v>7.3170731707317067</v>
      </c>
      <c r="E18">
        <f t="shared" si="5"/>
        <v>7.3170731707317067</v>
      </c>
      <c r="F18">
        <f t="shared" si="6"/>
        <v>2.4390243902439024</v>
      </c>
      <c r="G18">
        <f t="shared" si="7"/>
        <v>80.487804878048777</v>
      </c>
      <c r="H18">
        <f t="shared" si="8"/>
        <v>2.4390243902439024</v>
      </c>
      <c r="I18">
        <v>100</v>
      </c>
      <c r="J18">
        <f t="shared" si="3"/>
        <v>1.2195121951219512</v>
      </c>
    </row>
    <row r="19" spans="1:10" x14ac:dyDescent="0.2">
      <c r="A19">
        <v>7</v>
      </c>
      <c r="B19">
        <f t="shared" si="2"/>
        <v>420</v>
      </c>
      <c r="C19">
        <v>1</v>
      </c>
      <c r="D19">
        <f t="shared" si="4"/>
        <v>5.882352941176471</v>
      </c>
      <c r="E19">
        <f t="shared" si="5"/>
        <v>7.0588235294117645</v>
      </c>
      <c r="F19">
        <f t="shared" si="6"/>
        <v>2.3529411764705883</v>
      </c>
      <c r="G19">
        <f t="shared" si="7"/>
        <v>81.17647058823529</v>
      </c>
      <c r="H19">
        <f t="shared" si="8"/>
        <v>3.5294117647058822</v>
      </c>
      <c r="I19">
        <v>100</v>
      </c>
      <c r="J19">
        <f t="shared" si="3"/>
        <v>1.1764705882352942</v>
      </c>
    </row>
    <row r="20" spans="1:10" x14ac:dyDescent="0.2">
      <c r="A20">
        <v>9.3699999999999992</v>
      </c>
      <c r="B20">
        <f t="shared" si="2"/>
        <v>562.19999999999993</v>
      </c>
      <c r="C20">
        <v>1</v>
      </c>
      <c r="D20">
        <f t="shared" si="4"/>
        <v>4.9382716049382713</v>
      </c>
      <c r="E20">
        <f t="shared" si="5"/>
        <v>6.1728395061728394</v>
      </c>
      <c r="F20">
        <f t="shared" si="6"/>
        <v>2.4691358024691357</v>
      </c>
      <c r="G20">
        <f t="shared" si="7"/>
        <v>83.950617283950606</v>
      </c>
      <c r="H20">
        <f t="shared" si="8"/>
        <v>2.4691358024691357</v>
      </c>
      <c r="I20">
        <v>100</v>
      </c>
      <c r="J20">
        <f t="shared" si="3"/>
        <v>1.2345679012345678</v>
      </c>
    </row>
    <row r="21" spans="1:10" x14ac:dyDescent="0.2">
      <c r="A21">
        <v>22.5</v>
      </c>
      <c r="B21">
        <f t="shared" si="2"/>
        <v>1350</v>
      </c>
      <c r="C21">
        <v>1</v>
      </c>
      <c r="D21">
        <f t="shared" si="4"/>
        <v>3.8461538461538467</v>
      </c>
      <c r="E21">
        <f t="shared" si="5"/>
        <v>2.5641025641025643</v>
      </c>
      <c r="F21">
        <f t="shared" si="6"/>
        <v>2.5641025641025643</v>
      </c>
      <c r="G21">
        <f t="shared" si="7"/>
        <v>88.461538461538467</v>
      </c>
      <c r="H21">
        <f t="shared" si="8"/>
        <v>2.5641025641025643</v>
      </c>
      <c r="I21">
        <v>100</v>
      </c>
      <c r="J21">
        <f t="shared" si="3"/>
        <v>1.2820512820512822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Moulton</dc:creator>
  <cp:lastModifiedBy>Kara Moulton</cp:lastModifiedBy>
  <dcterms:created xsi:type="dcterms:W3CDTF">2026-02-17T14:09:54Z</dcterms:created>
  <dcterms:modified xsi:type="dcterms:W3CDTF">2026-09-23T15:31:30Z</dcterms:modified>
</cp:coreProperties>
</file>