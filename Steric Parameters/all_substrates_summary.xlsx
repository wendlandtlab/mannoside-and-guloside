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ulton/Desktop/computation/"/>
    </mc:Choice>
  </mc:AlternateContent>
  <xr:revisionPtr revIDLastSave="0" documentId="8_{E2C62426-582D-2B42-9C82-6CDC0293CC70}" xr6:coauthVersionLast="47" xr6:coauthVersionMax="47" xr10:uidLastSave="{00000000-0000-0000-0000-000000000000}"/>
  <bookViews>
    <workbookView xWindow="-300" yWindow="4280" windowWidth="30640" windowHeight="21140" xr2:uid="{8F3D0D57-AAA1-7F42-9E3C-EDB08DDB8A28}"/>
  </bookViews>
  <sheets>
    <sheet name="all - 5 A radii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3" i="1" l="1"/>
  <c r="AG20" i="1"/>
  <c r="AH20" i="1" s="1"/>
  <c r="AF20" i="1"/>
  <c r="AE20" i="1"/>
  <c r="AD20" i="1"/>
  <c r="Y20" i="1"/>
  <c r="AG19" i="1"/>
  <c r="AF19" i="1"/>
  <c r="AE19" i="1"/>
  <c r="AH19" i="1" s="1"/>
  <c r="AD19" i="1"/>
  <c r="Y19" i="1"/>
  <c r="AG18" i="1"/>
  <c r="AF18" i="1"/>
  <c r="AE18" i="1"/>
  <c r="AD18" i="1"/>
  <c r="AH18" i="1" s="1"/>
  <c r="Y18" i="1"/>
  <c r="AG17" i="1"/>
  <c r="AH17" i="1" s="1"/>
  <c r="AF17" i="1"/>
  <c r="AE17" i="1"/>
  <c r="AD17" i="1"/>
  <c r="Y17" i="1"/>
  <c r="AG16" i="1"/>
  <c r="AF16" i="1"/>
  <c r="AE16" i="1"/>
  <c r="AD16" i="1"/>
  <c r="AH16" i="1" s="1"/>
  <c r="Y16" i="1"/>
  <c r="AG15" i="1"/>
  <c r="AH15" i="1" s="1"/>
  <c r="AF15" i="1"/>
  <c r="AE15" i="1"/>
  <c r="AD15" i="1"/>
  <c r="Y15" i="1"/>
  <c r="AH14" i="1"/>
  <c r="AG14" i="1"/>
  <c r="AF14" i="1"/>
  <c r="AE14" i="1"/>
  <c r="AD14" i="1"/>
  <c r="Y14" i="1"/>
  <c r="AG13" i="1"/>
  <c r="AF13" i="1"/>
  <c r="AE13" i="1"/>
  <c r="AD13" i="1"/>
  <c r="AH13" i="1" s="1"/>
  <c r="X9" i="1"/>
  <c r="X8" i="1"/>
  <c r="X7" i="1"/>
  <c r="X6" i="1"/>
  <c r="X5" i="1"/>
  <c r="X4" i="1"/>
  <c r="X3" i="1"/>
  <c r="X2" i="1"/>
</calcChain>
</file>

<file path=xl/sharedStrings.xml><?xml version="1.0" encoding="utf-8"?>
<sst xmlns="http://schemas.openxmlformats.org/spreadsheetml/2006/main" count="555" uniqueCount="92">
  <si>
    <t>HAA selectivity</t>
  </si>
  <si>
    <t>C2</t>
  </si>
  <si>
    <t>C3</t>
  </si>
  <si>
    <t>C4</t>
  </si>
  <si>
    <t>C5</t>
  </si>
  <si>
    <t>log(C2/C2+C3+C4+C5)</t>
  </si>
  <si>
    <t>Population_Coverage_Pct</t>
  </si>
  <si>
    <t>EXTBV_C2-H2_ext1.5_rad5.0_boltzW</t>
  </si>
  <si>
    <t>EXTBV_C2-H2_ext1.5_rad5.0_min</t>
  </si>
  <si>
    <t>EXTBV_C2-H2_ext1.5_rad5.0_max</t>
  </si>
  <si>
    <t>BV_C2_rad5.0_boltzW</t>
  </si>
  <si>
    <t>BV_C2_rad5.0_min</t>
  </si>
  <si>
    <t>BV_C2_rad5.0_max</t>
  </si>
  <si>
    <t>BV_H2_rad5.0_boltzW</t>
  </si>
  <si>
    <t>BV_H2_rad5.0_min</t>
  </si>
  <si>
    <t>BV_H2_rad5.0_max</t>
  </si>
  <si>
    <t>SASA_C2_boltzW</t>
  </si>
  <si>
    <t>SASA_C2_min</t>
  </si>
  <si>
    <t>SASA_C2_max</t>
  </si>
  <si>
    <t>SASA_H2_boltzW</t>
  </si>
  <si>
    <t>SASA_H2_min</t>
  </si>
  <si>
    <t>SASA_H2_max</t>
  </si>
  <si>
    <t>unprotected</t>
  </si>
  <si>
    <t>C6 OTBS</t>
  </si>
  <si>
    <t>acetonide</t>
  </si>
  <si>
    <t>EXTBV_C3-H3_ext1.5_rad5.0_boltzW</t>
  </si>
  <si>
    <t>EXTBV_C3-H3_ext1.5_rad5.0_min</t>
  </si>
  <si>
    <t>EXTBV_C3-H3_ext1.5_rad5.0_max</t>
  </si>
  <si>
    <t>BV_C3_rad5.0_boltzW</t>
  </si>
  <si>
    <t>BV_C3_rad5.0_min</t>
  </si>
  <si>
    <t>BV_C3_rad5.0_max</t>
  </si>
  <si>
    <t>BV_H3_rad5.0_boltzW</t>
  </si>
  <si>
    <t>BV_H3_rad5.0_min</t>
  </si>
  <si>
    <t>BV_H3_rad5.0_max</t>
  </si>
  <si>
    <t>SASA_C3_boltzW</t>
  </si>
  <si>
    <t>SASA_C3_min</t>
  </si>
  <si>
    <t>SASA_C3_max</t>
  </si>
  <si>
    <t>SASA_H3_boltzW</t>
  </si>
  <si>
    <t>SASA_H3_min</t>
  </si>
  <si>
    <t>SASA_H3_max</t>
  </si>
  <si>
    <t>benzylidene</t>
  </si>
  <si>
    <t>C4-C6 diOTBS</t>
  </si>
  <si>
    <t>disiloxane</t>
  </si>
  <si>
    <t>EXTBV_C4-H4_ext1.5_rad5.0_boltzW</t>
  </si>
  <si>
    <t>EXTBV_C4-H4_ext1.5_rad5.0_min</t>
  </si>
  <si>
    <t>EXTBV_C4-H4_ext1.5_rad5.0_max</t>
  </si>
  <si>
    <t>BV_C4_rad5.0_boltzW</t>
  </si>
  <si>
    <t>BV_C4_rad5.0_min</t>
  </si>
  <si>
    <t>BV_C4_rad5.0_max</t>
  </si>
  <si>
    <t>BV_H4_rad5.0_boltzW</t>
  </si>
  <si>
    <t>BV_H4_rad5.0_min</t>
  </si>
  <si>
    <t>BV_H4_rad5.0_max</t>
  </si>
  <si>
    <t>SASA_C4_boltzW</t>
  </si>
  <si>
    <t>SASA_C4_min</t>
  </si>
  <si>
    <t>SASA_C4_max</t>
  </si>
  <si>
    <t>SASA_H4_boltzW</t>
  </si>
  <si>
    <t>SASA_H4_min</t>
  </si>
  <si>
    <t>SASA_H4_max</t>
  </si>
  <si>
    <t>iPr2Si</t>
  </si>
  <si>
    <t>tBu2Si</t>
  </si>
  <si>
    <t>EXTBV_C5-H5_ext1.5_rad5.0_boltzW</t>
  </si>
  <si>
    <t>EXTBV_C5-H5_ext1.5_rad5.0_min</t>
  </si>
  <si>
    <t>EXTBV_C5-H5_ext1.5_rad5.0_max</t>
  </si>
  <si>
    <t>BV_C5_rad5.0_boltzW</t>
  </si>
  <si>
    <t>BV_C5_rad5.0_min</t>
  </si>
  <si>
    <t>BV_C5_rad5.0_max</t>
  </si>
  <si>
    <t>BV_H5_rad5.0_boltzW</t>
  </si>
  <si>
    <t>BV_H5_rad5.0_min</t>
  </si>
  <si>
    <t>BV_H5_rad5.0_max</t>
  </si>
  <si>
    <t>SASA_C5_boltzW</t>
  </si>
  <si>
    <t>SASA_C5_min</t>
  </si>
  <si>
    <t>SASA_C5_max</t>
  </si>
  <si>
    <t>SASA_H5_boltzW</t>
  </si>
  <si>
    <t>SASA_H5_min</t>
  </si>
  <si>
    <t>SASA_H5_max</t>
  </si>
  <si>
    <t>%Vfree</t>
  </si>
  <si>
    <t>BW %Vbur</t>
  </si>
  <si>
    <t>H2</t>
  </si>
  <si>
    <t>H3</t>
  </si>
  <si>
    <t>H4</t>
  </si>
  <si>
    <t>H5</t>
  </si>
  <si>
    <t>H2/H2+H3+H4+H5</t>
  </si>
  <si>
    <t>H2/(H2+H3+H4+H5)</t>
  </si>
  <si>
    <t>SASA @ C</t>
  </si>
  <si>
    <t>[1] B-MeGlc</t>
  </si>
  <si>
    <t>[2] C6 OTBS</t>
  </si>
  <si>
    <t>[3] Acetonide</t>
  </si>
  <si>
    <t>[4] Benzylidene</t>
  </si>
  <si>
    <t>[6] C4, C6 OTBS</t>
  </si>
  <si>
    <t>[7] Disiloxane</t>
  </si>
  <si>
    <t>[8] (iPr)2SI</t>
  </si>
  <si>
    <t>[5]  (tBu)2Si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</si>
</sst>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HAA selectivity vs. </a:t>
            </a:r>
            <a:r>
              <a:rPr lang="en-US" sz="1000" b="0" i="0" u="none" strike="noStrike" kern="1200" spc="0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BW %Vfree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H2/(H2+H3+H4+H5)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8194646291602101"/>
                  <c:y val="0.40880092544869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'all - 5 A radii'!$AH$13:$AH$20</c:f>
              <c:numCache>
                <c:formatCode>General</c:formatCode>
                <c:ptCount val="8"/>
                <c:pt idx="0">
                  <c:v>0.25056823521472904</c:v>
                </c:pt>
                <c:pt idx="1">
                  <c:v>0.25828107538786771</c:v>
                </c:pt>
                <c:pt idx="2">
                  <c:v>0.26371080989778622</c:v>
                </c:pt>
                <c:pt idx="3">
                  <c:v>0.26480605585754652</c:v>
                </c:pt>
                <c:pt idx="4">
                  <c:v>0.27651600031018081</c:v>
                </c:pt>
                <c:pt idx="5">
                  <c:v>0.27419564706437655</c:v>
                </c:pt>
                <c:pt idx="6">
                  <c:v>0.2766142050215023</c:v>
                </c:pt>
                <c:pt idx="7">
                  <c:v>0.28455206265696603</c:v>
                </c:pt>
              </c:numCache>
            </c:numRef>
          </c:xVal>
          <c:yVal>
            <c:numRef>
              <c:f>'all - 5 A radii'!$X$2:$X$9</c:f>
              <c:numCache>
                <c:formatCode>General</c:formatCode>
                <c:ptCount val="8"/>
                <c:pt idx="0">
                  <c:v>-0.51851393987788752</c:v>
                </c:pt>
                <c:pt idx="1">
                  <c:v>-0.43179827593300502</c:v>
                </c:pt>
                <c:pt idx="2">
                  <c:v>-0.31875876262441277</c:v>
                </c:pt>
                <c:pt idx="3">
                  <c:v>-0.17392519729917355</c:v>
                </c:pt>
                <c:pt idx="4">
                  <c:v>-0.14874165128092473</c:v>
                </c:pt>
                <c:pt idx="5">
                  <c:v>-0.25181197299379954</c:v>
                </c:pt>
                <c:pt idx="6">
                  <c:v>-0.11350927482751812</c:v>
                </c:pt>
                <c:pt idx="7">
                  <c:v>-3.1517051446064863E-2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C9-4044-AF23-0BE1EDC3B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357823"/>
        <c:axId val="2132356479"/>
      </c:scatterChart>
      <c:valAx>
        <c:axId val="2132357823"/>
        <c:scaling>
          <c:orientation val="minMax"/>
          <c:max val="0.28500000000000003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BW %Vfree H2/(</a:t>
                </a:r>
                <a:r>
                  <a:rPr lang="en-US" sz="800">
                    <a:solidFill>
                      <a:srgbClr val="FF0000"/>
                    </a:solidFill>
                  </a:rPr>
                  <a:t>H2+H3+H4+H5</a:t>
                </a:r>
                <a:r>
                  <a:rPr lang="en-US" sz="800"/>
                  <a:t>)</a:t>
                </a:r>
              </a:p>
            </c:rich>
          </c:tx>
          <c:layout>
            <c:manualLayout>
              <c:xMode val="edge"/>
              <c:yMode val="edge"/>
              <c:x val="0.36189840356881653"/>
              <c:y val="0.93183014230762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356479"/>
        <c:crosses val="autoZero"/>
        <c:crossBetween val="midCat"/>
      </c:valAx>
      <c:valAx>
        <c:axId val="2132356479"/>
        <c:scaling>
          <c:orientation val="minMax"/>
          <c:max val="0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8log of</a:t>
                </a:r>
                <a:r>
                  <a:rPr lang="en-US" sz="800" baseline="0"/>
                  <a:t> </a:t>
                </a:r>
                <a:r>
                  <a:rPr lang="en-US" sz="800"/>
                  <a:t>HAA</a:t>
                </a:r>
                <a:r>
                  <a:rPr lang="en-US" sz="800" baseline="0"/>
                  <a:t> selectivity (H2/</a:t>
                </a:r>
                <a:r>
                  <a:rPr lang="en-US" sz="800" baseline="0">
                    <a:solidFill>
                      <a:srgbClr val="FF0000"/>
                    </a:solidFill>
                  </a:rPr>
                  <a:t>H2+H3+H4+H5</a:t>
                </a:r>
                <a:r>
                  <a:rPr lang="en-US" sz="800" baseline="0"/>
                  <a:t>)</a:t>
                </a:r>
                <a:endParaRPr lang="en-US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35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HAA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selectivity vs. </a:t>
            </a:r>
            <a:r>
              <a:rPr lang="en-US" sz="1000" b="0" i="0" u="none" strike="noStrike" kern="1200" spc="0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BW %Vbur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H2/(H2+H3+H4+H5)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5562820084363219E-2"/>
                  <c:y val="-0.346680817629216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'all - 5 A radii'!$Y$13:$Y$20</c:f>
              <c:numCache>
                <c:formatCode>General</c:formatCode>
                <c:ptCount val="8"/>
                <c:pt idx="0">
                  <c:v>0.24872714157318412</c:v>
                </c:pt>
                <c:pt idx="1">
                  <c:v>0.23501145974848289</c:v>
                </c:pt>
                <c:pt idx="2">
                  <c:v>0.22448987480010293</c:v>
                </c:pt>
                <c:pt idx="3">
                  <c:v>0.22173340469277231</c:v>
                </c:pt>
                <c:pt idx="4">
                  <c:v>0.21865302881617663</c:v>
                </c:pt>
                <c:pt idx="5">
                  <c:v>0.21566575924334877</c:v>
                </c:pt>
                <c:pt idx="6">
                  <c:v>0.20372015672708874</c:v>
                </c:pt>
                <c:pt idx="7">
                  <c:v>0.19818261113086844</c:v>
                </c:pt>
              </c:numCache>
            </c:numRef>
          </c:xVal>
          <c:yVal>
            <c:numRef>
              <c:f>'all - 5 A radii'!$X$2:$X$9</c:f>
              <c:numCache>
                <c:formatCode>General</c:formatCode>
                <c:ptCount val="8"/>
                <c:pt idx="0">
                  <c:v>-0.51851393987788752</c:v>
                </c:pt>
                <c:pt idx="1">
                  <c:v>-0.43179827593300502</c:v>
                </c:pt>
                <c:pt idx="2">
                  <c:v>-0.31875876262441277</c:v>
                </c:pt>
                <c:pt idx="3">
                  <c:v>-0.17392519729917355</c:v>
                </c:pt>
                <c:pt idx="4">
                  <c:v>-0.14874165128092473</c:v>
                </c:pt>
                <c:pt idx="5">
                  <c:v>-0.25181197299379954</c:v>
                </c:pt>
                <c:pt idx="6">
                  <c:v>-0.11350927482751812</c:v>
                </c:pt>
                <c:pt idx="7">
                  <c:v>-3.1517051446064863E-2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FA-8F43-B6C9-118DF7809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324672"/>
        <c:axId val="133167103"/>
      </c:scatterChart>
      <c:valAx>
        <c:axId val="1909324672"/>
        <c:scaling>
          <c:orientation val="minMax"/>
          <c:max val="0.25"/>
          <c:min val="0.19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BW %Vbur H2/(</a:t>
                </a:r>
                <a:r>
                  <a:rPr lang="en-US" sz="800" b="0" i="0" u="none" strike="noStrike" kern="1200" baseline="0">
                    <a:solidFill>
                      <a:srgbClr val="FF0000"/>
                    </a:solidFill>
                  </a:rPr>
                  <a:t>H2+H3+H4+H5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  <a:endParaRPr lang="en-US" sz="800"/>
              </a:p>
            </c:rich>
          </c:tx>
          <c:layout>
            <c:manualLayout>
              <c:xMode val="edge"/>
              <c:yMode val="edge"/>
              <c:x val="0.39661551036773568"/>
              <c:y val="0.935158543567504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67103"/>
        <c:crosses val="autoZero"/>
        <c:crossBetween val="midCat"/>
      </c:valAx>
      <c:valAx>
        <c:axId val="13316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 of HAA selectivity (H2/</a:t>
                </a:r>
                <a:r>
                  <a:rPr lang="en-US" sz="800" b="0" i="0" u="none" strike="noStrike" kern="1200" baseline="0">
                    <a:solidFill>
                      <a:srgbClr val="FF0000"/>
                    </a:solidFill>
                  </a:rPr>
                  <a:t>H2+H3+H4+H5</a:t>
                </a:r>
                <a:r>
                  <a:rPr lang="en-US" sz="800" b="0" i="0" u="none" strike="noStrike" kern="1200" baseline="0">
                    <a:solidFill>
                      <a:schemeClr val="tx1"/>
                    </a:solidFill>
                  </a:rPr>
                  <a:t>)</a:t>
                </a:r>
                <a:endParaRPr lang="en-US" sz="8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32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HAA selectivity vs. </a:t>
            </a:r>
            <a:r>
              <a:rPr lang="en-US" sz="1000" b="0" i="0" u="none" strike="noStrike" kern="1200" spc="0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BW %Vbur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H2-[(H2+H3+H4+H5]/4)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929925933016118"/>
                  <c:y val="-0.324695246427529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'all - 5 A radii'!$AB$13:$AB$20</c:f>
              <c:numCache>
                <c:formatCode>General</c:formatCode>
                <c:ptCount val="8"/>
              </c:numCache>
            </c:numRef>
          </c:xVal>
          <c:yVal>
            <c:numRef>
              <c:f>'all - 5 A radii'!$X$2:$X$9</c:f>
              <c:numCache>
                <c:formatCode>General</c:formatCode>
                <c:ptCount val="8"/>
                <c:pt idx="0">
                  <c:v>-0.51851393987788752</c:v>
                </c:pt>
                <c:pt idx="1">
                  <c:v>-0.43179827593300502</c:v>
                </c:pt>
                <c:pt idx="2">
                  <c:v>-0.31875876262441277</c:v>
                </c:pt>
                <c:pt idx="3">
                  <c:v>-0.17392519729917355</c:v>
                </c:pt>
                <c:pt idx="4">
                  <c:v>-0.14874165128092473</c:v>
                </c:pt>
                <c:pt idx="5">
                  <c:v>-0.25181197299379954</c:v>
                </c:pt>
                <c:pt idx="6">
                  <c:v>-0.11350927482751812</c:v>
                </c:pt>
                <c:pt idx="7">
                  <c:v>-3.1517051446064863E-2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ED-554A-B12A-9B12D2BC6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29631"/>
        <c:axId val="181971455"/>
      </c:scatterChart>
      <c:valAx>
        <c:axId val="13402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spc="0" baseline="0">
                    <a:solidFill>
                      <a:schemeClr val="tx1"/>
                    </a:solidFill>
                  </a:rPr>
                  <a:t>BW %Vbur </a:t>
                </a:r>
                <a:r>
                  <a:rPr lang="en-US" sz="800" b="0" i="0" u="none" strike="noStrike" kern="1200" spc="0" baseline="0">
                    <a:solidFill>
                      <a:srgbClr val="FF0000"/>
                    </a:solidFill>
                  </a:rPr>
                  <a:t>H2-[(H2+H3+H4+H5]/4)</a:t>
                </a:r>
                <a:endParaRPr lang="en-US" sz="800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71455"/>
        <c:crosses val="autoZero"/>
        <c:crossBetween val="midCat"/>
      </c:valAx>
      <c:valAx>
        <c:axId val="18197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 of HAA selectivity (H2/</a:t>
                </a:r>
                <a:r>
                  <a:rPr lang="en-US" sz="800" b="0" i="0" u="none" strike="noStrike" kern="1200" baseline="0">
                    <a:solidFill>
                      <a:srgbClr val="FF0000"/>
                    </a:solidFill>
                  </a:rPr>
                  <a:t>H2+H3+H4+H5</a:t>
                </a:r>
                <a:r>
                  <a:rPr lang="en-US" sz="800" b="0" i="0" u="none" strike="noStrike" kern="1200" baseline="0">
                    <a:solidFill>
                      <a:schemeClr val="tx1"/>
                    </a:solidFill>
                  </a:rPr>
                  <a:t>)</a:t>
                </a:r>
                <a:endParaRPr lang="en-US" sz="8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9462539855010796E-2"/>
              <c:y val="0.16428691497832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2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HAA selectivity vs. </a:t>
            </a:r>
            <a:r>
              <a:rPr lang="en-US" sz="1000" b="0" i="0" u="none" strike="noStrike" kern="1200" spc="0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BW SASA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C2/(C2+C3+C4+C5)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'all - 5 A radii'!$AF$27:$AF$34</c:f>
              <c:numCache>
                <c:formatCode>General</c:formatCode>
                <c:ptCount val="8"/>
              </c:numCache>
            </c:numRef>
          </c:xVal>
          <c:yVal>
            <c:numRef>
              <c:f>'all - 5 A radii'!$X$2:$X$9</c:f>
              <c:numCache>
                <c:formatCode>General</c:formatCode>
                <c:ptCount val="8"/>
                <c:pt idx="0">
                  <c:v>-0.51851393987788752</c:v>
                </c:pt>
                <c:pt idx="1">
                  <c:v>-0.43179827593300502</c:v>
                </c:pt>
                <c:pt idx="2">
                  <c:v>-0.31875876262441277</c:v>
                </c:pt>
                <c:pt idx="3">
                  <c:v>-0.17392519729917355</c:v>
                </c:pt>
                <c:pt idx="4">
                  <c:v>-0.14874165128092473</c:v>
                </c:pt>
                <c:pt idx="5">
                  <c:v>-0.25181197299379954</c:v>
                </c:pt>
                <c:pt idx="6">
                  <c:v>-0.11350927482751812</c:v>
                </c:pt>
                <c:pt idx="7">
                  <c:v>-3.1517051446064863E-2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0C-D04D-99B1-8976087E8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067327"/>
        <c:axId val="2126577663"/>
      </c:scatterChart>
      <c:valAx>
        <c:axId val="2115067327"/>
        <c:scaling>
          <c:orientation val="minMax"/>
          <c:max val="1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BW SASA C2/(</a:t>
                </a:r>
                <a:r>
                  <a:rPr lang="en-US" sz="1000" b="0" i="0" u="none" strike="noStrike" kern="1200" baseline="0">
                    <a:solidFill>
                      <a:srgbClr val="FF0000"/>
                    </a:solidFill>
                  </a:rPr>
                  <a:t>C2+C3+C4+C5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577663"/>
        <c:crosses val="autoZero"/>
        <c:crossBetween val="midCat"/>
      </c:valAx>
      <c:valAx>
        <c:axId val="212657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 of HAA selectivity (</a:t>
                </a:r>
                <a:r>
                  <a:rPr lang="en-US" sz="800" b="0" i="0" u="none" strike="noStrike" kern="1200" baseline="0">
                    <a:solidFill>
                      <a:srgbClr val="FF0000"/>
                    </a:solidFill>
                  </a:rPr>
                  <a:t>H2/H2+H3+H4+H5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067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HAA selectivity vs. </a:t>
            </a:r>
            <a:r>
              <a:rPr lang="en-US" sz="1000" b="0" i="0" u="none" strike="noStrike" kern="1200" spc="0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BW %Vfree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H2/(H2+H3+H4+H5)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1636780591785568E-2"/>
                  <c:y val="0.240028876750143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'all - 5 A radii'!$AH$13:$AH$20</c:f>
              <c:numCache>
                <c:formatCode>General</c:formatCode>
                <c:ptCount val="8"/>
                <c:pt idx="0">
                  <c:v>0.25056823521472904</c:v>
                </c:pt>
                <c:pt idx="1">
                  <c:v>0.25828107538786771</c:v>
                </c:pt>
                <c:pt idx="2">
                  <c:v>0.26371080989778622</c:v>
                </c:pt>
                <c:pt idx="3">
                  <c:v>0.26480605585754652</c:v>
                </c:pt>
                <c:pt idx="4">
                  <c:v>0.27651600031018081</c:v>
                </c:pt>
                <c:pt idx="5">
                  <c:v>0.27419564706437655</c:v>
                </c:pt>
                <c:pt idx="6">
                  <c:v>0.2766142050215023</c:v>
                </c:pt>
                <c:pt idx="7">
                  <c:v>0.28455206265696603</c:v>
                </c:pt>
              </c:numCache>
            </c:numRef>
          </c:xVal>
          <c:yVal>
            <c:numRef>
              <c:f>'all - 5 A radii'!$X$2:$X$9</c:f>
              <c:numCache>
                <c:formatCode>General</c:formatCode>
                <c:ptCount val="8"/>
                <c:pt idx="0">
                  <c:v>-0.51851393987788752</c:v>
                </c:pt>
                <c:pt idx="1">
                  <c:v>-0.43179827593300502</c:v>
                </c:pt>
                <c:pt idx="2">
                  <c:v>-0.31875876262441277</c:v>
                </c:pt>
                <c:pt idx="3">
                  <c:v>-0.17392519729917355</c:v>
                </c:pt>
                <c:pt idx="4">
                  <c:v>-0.14874165128092473</c:v>
                </c:pt>
                <c:pt idx="5">
                  <c:v>-0.25181197299379954</c:v>
                </c:pt>
                <c:pt idx="6">
                  <c:v>-0.11350927482751812</c:v>
                </c:pt>
                <c:pt idx="7">
                  <c:v>-3.1517051446064863E-2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20-A845-9845-CB82301E0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77120"/>
        <c:axId val="2092462783"/>
      </c:scatterChart>
      <c:valAx>
        <c:axId val="4307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spc="0" baseline="0">
                    <a:solidFill>
                      <a:schemeClr val="tx1"/>
                    </a:solidFill>
                  </a:rPr>
                  <a:t>BW %Vfree </a:t>
                </a:r>
                <a:r>
                  <a:rPr lang="en-US" sz="800" b="0" i="0" u="none" strike="noStrike" kern="1200" spc="0" baseline="0">
                    <a:solidFill>
                      <a:srgbClr val="FF0000"/>
                    </a:solidFill>
                  </a:rPr>
                  <a:t>H2/[H2+H3+H4+H5)</a:t>
                </a:r>
                <a:endParaRPr lang="en-US" sz="800" b="0" i="0" u="none" strike="noStrike" kern="1200" baseline="0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462783"/>
        <c:crosses val="autoZero"/>
        <c:crossBetween val="midCat"/>
      </c:valAx>
      <c:valAx>
        <c:axId val="209246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 of HAA selectivity (H2/</a:t>
                </a:r>
                <a:r>
                  <a:rPr lang="en-US" sz="800" b="0" i="0" u="none" strike="noStrike" kern="1200" baseline="0">
                    <a:solidFill>
                      <a:srgbClr val="FF0000"/>
                    </a:solidFill>
                  </a:rPr>
                  <a:t>H2+H3+H4+H5</a:t>
                </a:r>
                <a:r>
                  <a:rPr lang="en-US" sz="800" b="0" i="0" u="none" strike="noStrike" kern="1200" baseline="0">
                    <a:solidFill>
                      <a:schemeClr val="tx1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344276</xdr:colOff>
      <xdr:row>23</xdr:row>
      <xdr:rowOff>146743</xdr:rowOff>
    </xdr:from>
    <xdr:to>
      <xdr:col>23</xdr:col>
      <xdr:colOff>784411</xdr:colOff>
      <xdr:row>39</xdr:row>
      <xdr:rowOff>177426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87517-E1B6-0649-A73C-6646BACF6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1164977</xdr:colOff>
      <xdr:row>23</xdr:row>
      <xdr:rowOff>132660</xdr:rowOff>
    </xdr:from>
    <xdr:to>
      <xdr:col>26</xdr:col>
      <xdr:colOff>1409700</xdr:colOff>
      <xdr:row>39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FAE515-EE76-D142-84D1-4F0F1DDBC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101600</xdr:colOff>
      <xdr:row>8</xdr:row>
      <xdr:rowOff>152400</xdr:rowOff>
    </xdr:from>
    <xdr:to>
      <xdr:col>48</xdr:col>
      <xdr:colOff>300567</xdr:colOff>
      <xdr:row>20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3AF619-D8BA-4C49-B94E-617635033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33297</xdr:colOff>
      <xdr:row>25</xdr:row>
      <xdr:rowOff>26644</xdr:rowOff>
    </xdr:from>
    <xdr:to>
      <xdr:col>50</xdr:col>
      <xdr:colOff>232537</xdr:colOff>
      <xdr:row>36</xdr:row>
      <xdr:rowOff>187818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2491E59-C8B3-664F-8DB6-5D6EDD446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610346</xdr:colOff>
      <xdr:row>8</xdr:row>
      <xdr:rowOff>127209</xdr:rowOff>
    </xdr:from>
    <xdr:to>
      <xdr:col>54</xdr:col>
      <xdr:colOff>184951</xdr:colOff>
      <xdr:row>26</xdr:row>
      <xdr:rowOff>61650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4414976-A890-3D4B-B525-AB2D5D65D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oulton/Desktop/computation/new_glucose_steric_properties.xlsx" TargetMode="External"/><Relationship Id="rId1" Type="http://schemas.openxmlformats.org/officeDocument/2006/relationships/externalLinkPath" Target="new_glucose_steric_proper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protected"/>
      <sheetName val="mono OTBS"/>
      <sheetName val="acetonide"/>
      <sheetName val="benzylidene"/>
      <sheetName val="di OTBS"/>
      <sheetName val="disiloxane"/>
      <sheetName val="(iPr)2Si"/>
      <sheetName val="(tBu)2Si"/>
      <sheetName val="all - 5 A radii"/>
      <sheetName val="all - 3.5 A rad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X2">
            <v>-0.51851393987788752</v>
          </cell>
        </row>
        <row r="3">
          <cell r="X3">
            <v>-0.43179827593300502</v>
          </cell>
        </row>
        <row r="4">
          <cell r="X4">
            <v>-0.31875876262441277</v>
          </cell>
        </row>
        <row r="5">
          <cell r="X5">
            <v>-0.17392519729917355</v>
          </cell>
        </row>
        <row r="6">
          <cell r="X6">
            <v>-0.14874165128092473</v>
          </cell>
        </row>
        <row r="7">
          <cell r="X7">
            <v>-0.25181197299379954</v>
          </cell>
        </row>
        <row r="8">
          <cell r="X8">
            <v>-0.11350927482751812</v>
          </cell>
        </row>
        <row r="9">
          <cell r="X9">
            <v>-3.1517051446064863E-2</v>
          </cell>
        </row>
        <row r="13">
          <cell r="Y13">
            <v>0.24872714157318412</v>
          </cell>
          <cell r="AH13">
            <v>0.25056823521472904</v>
          </cell>
        </row>
        <row r="14">
          <cell r="Y14">
            <v>0.23501145974848289</v>
          </cell>
          <cell r="AH14">
            <v>0.25828107538786771</v>
          </cell>
        </row>
        <row r="15">
          <cell r="Y15">
            <v>0.22448987480010293</v>
          </cell>
          <cell r="AH15">
            <v>0.26371080989778622</v>
          </cell>
        </row>
        <row r="16">
          <cell r="Y16">
            <v>0.22173340469277231</v>
          </cell>
          <cell r="AH16">
            <v>0.26480605585754652</v>
          </cell>
        </row>
        <row r="17">
          <cell r="Y17">
            <v>0.21865302881617663</v>
          </cell>
          <cell r="AH17">
            <v>0.27651600031018081</v>
          </cell>
        </row>
        <row r="18">
          <cell r="Y18">
            <v>0.21566575924334877</v>
          </cell>
          <cell r="AH18">
            <v>0.27419564706437655</v>
          </cell>
        </row>
        <row r="19">
          <cell r="Y19">
            <v>0.20372015672708874</v>
          </cell>
          <cell r="AH19">
            <v>0.2766142050215023</v>
          </cell>
        </row>
        <row r="20">
          <cell r="Y20">
            <v>0.19818261113086844</v>
          </cell>
          <cell r="AH20">
            <v>0.28455206265696603</v>
          </cell>
        </row>
        <row r="27">
          <cell r="Y27">
            <v>0.28388532051699417</v>
          </cell>
          <cell r="AF27">
            <v>0.10585119227253902</v>
          </cell>
        </row>
        <row r="28">
          <cell r="Y28">
            <v>0.29525643214184438</v>
          </cell>
          <cell r="AF28">
            <v>0.13888597521448298</v>
          </cell>
        </row>
        <row r="29">
          <cell r="Y29">
            <v>0.30923717521090482</v>
          </cell>
          <cell r="AF29">
            <v>1.5702738216464972E-2</v>
          </cell>
        </row>
        <row r="30">
          <cell r="Y30">
            <v>0.29213231775358622</v>
          </cell>
          <cell r="AF30">
            <v>1.9799252288486183E-2</v>
          </cell>
        </row>
        <row r="31">
          <cell r="Y31">
            <v>0.27924663047889253</v>
          </cell>
          <cell r="AF31">
            <v>4.2953385398846411E-2</v>
          </cell>
        </row>
        <row r="32">
          <cell r="Y32">
            <v>0.29557607888124993</v>
          </cell>
          <cell r="AF32">
            <v>0.98089693108274301</v>
          </cell>
        </row>
        <row r="33">
          <cell r="Y33">
            <v>0.35099401566266192</v>
          </cell>
          <cell r="AF33">
            <v>0.49133485805390414</v>
          </cell>
        </row>
        <row r="34">
          <cell r="Y34">
            <v>0.43146888473220624</v>
          </cell>
          <cell r="AF34">
            <v>4.5022810164976224E-2</v>
          </cell>
        </row>
        <row r="41">
          <cell r="Y41">
            <v>0.24617138208854522</v>
          </cell>
        </row>
        <row r="42">
          <cell r="Y42">
            <v>0.2410907015733775</v>
          </cell>
        </row>
        <row r="43">
          <cell r="Y43">
            <v>0.23050762092064289</v>
          </cell>
        </row>
        <row r="44">
          <cell r="Y44">
            <v>0.22371616644768699</v>
          </cell>
        </row>
        <row r="45">
          <cell r="Y45">
            <v>0.23915639287145543</v>
          </cell>
        </row>
        <row r="46">
          <cell r="Y46">
            <v>0.1741568792023214</v>
          </cell>
        </row>
        <row r="47">
          <cell r="Y47">
            <v>0.19589877163122407</v>
          </cell>
        </row>
        <row r="48">
          <cell r="Y48">
            <v>0.20006351604527295</v>
          </cell>
        </row>
        <row r="51">
          <cell r="T51">
            <v>0.31636239457217902</v>
          </cell>
          <cell r="X51">
            <v>0.24974496781105507</v>
          </cell>
        </row>
        <row r="52">
          <cell r="T52">
            <v>0.334083403523179</v>
          </cell>
          <cell r="X52">
            <v>0.22765816460867702</v>
          </cell>
        </row>
        <row r="53">
          <cell r="T53">
            <v>0.32106423529690098</v>
          </cell>
          <cell r="X53">
            <v>0.22072817391515562</v>
          </cell>
        </row>
        <row r="54">
          <cell r="T54">
            <v>0.31505068558472499</v>
          </cell>
          <cell r="X54">
            <v>0.22258349795114471</v>
          </cell>
        </row>
        <row r="55">
          <cell r="T55">
            <v>0.38605244</v>
          </cell>
          <cell r="X55">
            <v>0.20004617512363515</v>
          </cell>
        </row>
        <row r="56">
          <cell r="T56">
            <v>0.48424808000000003</v>
          </cell>
          <cell r="X56">
            <v>0.25560232344703687</v>
          </cell>
        </row>
        <row r="57">
          <cell r="T57">
            <v>0.36438995000000002</v>
          </cell>
          <cell r="X57">
            <v>0.21745780289193745</v>
          </cell>
        </row>
        <row r="58">
          <cell r="T58">
            <v>0.32942316999999999</v>
          </cell>
          <cell r="X58">
            <v>0.19806394224389015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43AB-AB14-164A-A5A5-92F8267BE109}">
  <dimension ref="A1:AT129"/>
  <sheetViews>
    <sheetView tabSelected="1" zoomScale="25" zoomScaleNormal="115" workbookViewId="0">
      <selection activeCell="AB35" sqref="AB35"/>
    </sheetView>
  </sheetViews>
  <sheetFormatPr baseColWidth="10" defaultRowHeight="16"/>
  <cols>
    <col min="1" max="1" width="26.33203125" customWidth="1"/>
    <col min="2" max="2" width="30.1640625" customWidth="1"/>
    <col min="3" max="3" width="28.1640625" customWidth="1"/>
    <col min="4" max="4" width="27.6640625" customWidth="1"/>
    <col min="5" max="5" width="19.1640625" customWidth="1"/>
    <col min="6" max="6" width="17.1640625" customWidth="1"/>
    <col min="7" max="7" width="17" customWidth="1"/>
    <col min="8" max="8" width="18.6640625" customWidth="1"/>
    <col min="9" max="9" width="15.5" customWidth="1"/>
    <col min="10" max="10" width="16.83203125" customWidth="1"/>
    <col min="11" max="11" width="15.1640625" customWidth="1"/>
    <col min="12" max="12" width="12.83203125" customWidth="1"/>
    <col min="13" max="13" width="13.6640625" customWidth="1"/>
    <col min="14" max="14" width="14.1640625" customWidth="1"/>
    <col min="15" max="15" width="12.1640625" customWidth="1"/>
    <col min="16" max="16" width="12.5" customWidth="1"/>
    <col min="24" max="24" width="20.33203125" customWidth="1"/>
    <col min="25" max="25" width="18.6640625" customWidth="1"/>
    <col min="26" max="26" width="20.5" customWidth="1"/>
    <col min="27" max="27" width="21.1640625" customWidth="1"/>
  </cols>
  <sheetData>
    <row r="1" spans="1:34">
      <c r="A1" s="3" t="s">
        <v>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S1" t="s">
        <v>0</v>
      </c>
      <c r="T1" t="s">
        <v>1</v>
      </c>
      <c r="U1" t="s">
        <v>2</v>
      </c>
      <c r="V1" t="s">
        <v>3</v>
      </c>
      <c r="W1" t="s">
        <v>4</v>
      </c>
      <c r="X1" t="s">
        <v>5</v>
      </c>
    </row>
    <row r="2" spans="1:3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R2">
        <v>1</v>
      </c>
      <c r="S2" t="s">
        <v>22</v>
      </c>
      <c r="T2">
        <v>30</v>
      </c>
      <c r="U2">
        <v>53</v>
      </c>
      <c r="V2">
        <v>12</v>
      </c>
      <c r="W2">
        <v>4</v>
      </c>
      <c r="X2">
        <f>LOG(T2/(U2+V2+W2+T2))</f>
        <v>-0.51851393987788752</v>
      </c>
    </row>
    <row r="3" spans="1:34">
      <c r="A3">
        <v>99.9315949774779</v>
      </c>
      <c r="B3">
        <v>0.24595904177556299</v>
      </c>
      <c r="C3">
        <v>0.23910078521648601</v>
      </c>
      <c r="D3">
        <v>0.292167938570212</v>
      </c>
      <c r="E3">
        <v>0.31636239457217902</v>
      </c>
      <c r="F3">
        <v>0.31191463530005298</v>
      </c>
      <c r="G3">
        <v>0.34381405505975798</v>
      </c>
      <c r="H3">
        <v>0.30706861945855402</v>
      </c>
      <c r="I3">
        <v>0.30066065403172398</v>
      </c>
      <c r="J3">
        <v>0.34596433414272598</v>
      </c>
      <c r="K3">
        <v>1.7115483303306998E-2</v>
      </c>
      <c r="L3">
        <v>0</v>
      </c>
      <c r="M3">
        <v>4.0000934615431201E-2</v>
      </c>
      <c r="N3">
        <v>13.6606549452877</v>
      </c>
      <c r="O3">
        <v>6.7199842857535597</v>
      </c>
      <c r="P3">
        <v>14.119966981375001</v>
      </c>
      <c r="R3">
        <v>2</v>
      </c>
      <c r="S3" t="s">
        <v>23</v>
      </c>
      <c r="T3">
        <v>37</v>
      </c>
      <c r="U3">
        <v>60</v>
      </c>
      <c r="V3">
        <v>3</v>
      </c>
      <c r="W3">
        <v>0</v>
      </c>
      <c r="X3">
        <f t="shared" ref="X3:X9" si="0">LOG(T3/(U3+V3+W3+T3))</f>
        <v>-0.43179827593300502</v>
      </c>
    </row>
    <row r="4" spans="1:34">
      <c r="R4">
        <v>3</v>
      </c>
      <c r="S4" t="s">
        <v>24</v>
      </c>
      <c r="T4">
        <v>48</v>
      </c>
      <c r="U4">
        <v>52</v>
      </c>
      <c r="V4">
        <v>0</v>
      </c>
      <c r="W4">
        <v>0</v>
      </c>
      <c r="X4">
        <f t="shared" si="0"/>
        <v>-0.31875876262441277</v>
      </c>
    </row>
    <row r="5" spans="1:34">
      <c r="A5" t="s">
        <v>6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t="s">
        <v>38</v>
      </c>
      <c r="P5" t="s">
        <v>39</v>
      </c>
      <c r="R5">
        <v>4</v>
      </c>
      <c r="S5" t="s">
        <v>40</v>
      </c>
      <c r="T5">
        <v>67</v>
      </c>
      <c r="U5">
        <v>33</v>
      </c>
      <c r="V5">
        <v>0</v>
      </c>
      <c r="W5">
        <v>0</v>
      </c>
      <c r="X5">
        <f>LOG(T5/(U5+V5+W5+T5))</f>
        <v>-0.17392519729917355</v>
      </c>
    </row>
    <row r="6" spans="1:34">
      <c r="A6">
        <v>99.9315949774779</v>
      </c>
      <c r="B6">
        <v>0.242082813873568</v>
      </c>
      <c r="C6">
        <v>0.23707270347828799</v>
      </c>
      <c r="D6">
        <v>0.24625918451010601</v>
      </c>
      <c r="E6">
        <v>0.30458822572453798</v>
      </c>
      <c r="F6">
        <v>0.30092475797042001</v>
      </c>
      <c r="G6">
        <v>0.31914398789063703</v>
      </c>
      <c r="H6">
        <v>0.29608430830515797</v>
      </c>
      <c r="I6">
        <v>0.29352590583709098</v>
      </c>
      <c r="J6">
        <v>0.301614581690895</v>
      </c>
      <c r="K6">
        <v>7.0655755172159096E-4</v>
      </c>
      <c r="L6">
        <v>0</v>
      </c>
      <c r="M6">
        <v>3.0000700961569999E-2</v>
      </c>
      <c r="N6">
        <v>12.142212875329401</v>
      </c>
      <c r="O6">
        <v>9.8899768729319604</v>
      </c>
      <c r="P6">
        <v>13.839967636135301</v>
      </c>
      <c r="R6">
        <v>6</v>
      </c>
      <c r="S6" t="s">
        <v>41</v>
      </c>
      <c r="T6">
        <v>71</v>
      </c>
      <c r="U6">
        <v>21</v>
      </c>
      <c r="V6">
        <v>8</v>
      </c>
      <c r="W6">
        <v>0</v>
      </c>
      <c r="X6">
        <f t="shared" si="0"/>
        <v>-0.14874165128092473</v>
      </c>
    </row>
    <row r="7" spans="1:34">
      <c r="R7">
        <v>7</v>
      </c>
      <c r="S7" t="s">
        <v>42</v>
      </c>
      <c r="T7">
        <v>56</v>
      </c>
      <c r="U7">
        <v>42</v>
      </c>
      <c r="V7">
        <v>2</v>
      </c>
      <c r="W7">
        <v>0</v>
      </c>
      <c r="X7">
        <f t="shared" si="0"/>
        <v>-0.25181197299379954</v>
      </c>
    </row>
    <row r="8" spans="1:34">
      <c r="A8" t="s">
        <v>6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R8">
        <v>8</v>
      </c>
      <c r="S8" t="s">
        <v>58</v>
      </c>
      <c r="T8">
        <v>77</v>
      </c>
      <c r="U8">
        <v>23</v>
      </c>
      <c r="V8">
        <v>0</v>
      </c>
      <c r="W8">
        <v>0</v>
      </c>
      <c r="X8">
        <f t="shared" si="0"/>
        <v>-0.11350927482751812</v>
      </c>
    </row>
    <row r="9" spans="1:34">
      <c r="A9">
        <v>99.9315949774779</v>
      </c>
      <c r="B9">
        <v>0.25152412208094699</v>
      </c>
      <c r="C9">
        <v>0.237821654946233</v>
      </c>
      <c r="D9">
        <v>0.28142836870486498</v>
      </c>
      <c r="E9">
        <v>0.31511997494034</v>
      </c>
      <c r="F9">
        <v>0.31228714010911002</v>
      </c>
      <c r="G9">
        <v>0.326152596890668</v>
      </c>
      <c r="H9">
        <v>0.306544005681542</v>
      </c>
      <c r="I9">
        <v>0.30133668127779001</v>
      </c>
      <c r="J9">
        <v>0.32753421525653498</v>
      </c>
      <c r="K9">
        <v>2.7426260896510602E-3</v>
      </c>
      <c r="L9">
        <v>0</v>
      </c>
      <c r="M9">
        <v>5.0001168269292302E-2</v>
      </c>
      <c r="N9">
        <v>10.8017464247633</v>
      </c>
      <c r="O9">
        <v>7.6999819940926297</v>
      </c>
      <c r="P9">
        <v>12.5399706760937</v>
      </c>
      <c r="R9">
        <v>5</v>
      </c>
      <c r="S9" t="s">
        <v>59</v>
      </c>
      <c r="T9">
        <v>93</v>
      </c>
      <c r="U9">
        <v>7</v>
      </c>
      <c r="V9">
        <v>0</v>
      </c>
      <c r="W9">
        <v>0</v>
      </c>
      <c r="X9">
        <f t="shared" si="0"/>
        <v>-3.1517051446064863E-2</v>
      </c>
    </row>
    <row r="11" spans="1:34">
      <c r="A11" t="s">
        <v>6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  <c r="J11" t="s">
        <v>68</v>
      </c>
      <c r="K11" t="s">
        <v>69</v>
      </c>
      <c r="L11" t="s">
        <v>70</v>
      </c>
      <c r="M11" t="s">
        <v>71</v>
      </c>
      <c r="N11" t="s">
        <v>72</v>
      </c>
      <c r="O11" t="s">
        <v>73</v>
      </c>
      <c r="P11" t="s">
        <v>74</v>
      </c>
      <c r="AD11" t="s">
        <v>75</v>
      </c>
    </row>
    <row r="12" spans="1:34">
      <c r="A12">
        <v>99.9315949774779</v>
      </c>
      <c r="B12">
        <v>0.25957145119776598</v>
      </c>
      <c r="C12">
        <v>0.192598782756772</v>
      </c>
      <c r="D12">
        <v>0.26753531897448801</v>
      </c>
      <c r="E12">
        <v>0.33067122280639399</v>
      </c>
      <c r="F12">
        <v>0.32630041625934197</v>
      </c>
      <c r="G12">
        <v>0.33514592728075399</v>
      </c>
      <c r="H12">
        <v>0.324863225596351</v>
      </c>
      <c r="I12">
        <v>0.29097355807133102</v>
      </c>
      <c r="J12">
        <v>0.32626493961086001</v>
      </c>
      <c r="K12">
        <v>0.14112914996802101</v>
      </c>
      <c r="L12">
        <v>0</v>
      </c>
      <c r="M12">
        <v>0.43001004711590901</v>
      </c>
      <c r="N12">
        <v>11.5157144859882</v>
      </c>
      <c r="O12">
        <v>9.0699787904441802</v>
      </c>
      <c r="P12">
        <v>15.049964806635501</v>
      </c>
      <c r="S12" t="s">
        <v>76</v>
      </c>
      <c r="T12" t="s">
        <v>77</v>
      </c>
      <c r="U12" t="s">
        <v>78</v>
      </c>
      <c r="V12" t="s">
        <v>79</v>
      </c>
      <c r="W12" t="s">
        <v>80</v>
      </c>
      <c r="Y12" t="s">
        <v>81</v>
      </c>
      <c r="AD12" t="s">
        <v>77</v>
      </c>
      <c r="AE12" t="s">
        <v>78</v>
      </c>
      <c r="AF12" t="s">
        <v>79</v>
      </c>
      <c r="AG12" t="s">
        <v>80</v>
      </c>
      <c r="AH12" t="s">
        <v>82</v>
      </c>
    </row>
    <row r="13" spans="1:34">
      <c r="R13">
        <v>1</v>
      </c>
      <c r="S13" t="s">
        <v>22</v>
      </c>
      <c r="T13">
        <v>0.30706861945855402</v>
      </c>
      <c r="U13">
        <v>0.29608430830515797</v>
      </c>
      <c r="V13">
        <v>0.306544005681542</v>
      </c>
      <c r="W13">
        <v>0.324863225596351</v>
      </c>
      <c r="Y13">
        <f>T13/(T13+U13+V13+W13)</f>
        <v>0.24872714157318412</v>
      </c>
      <c r="AD13">
        <f>1-T13</f>
        <v>0.69293138054144598</v>
      </c>
      <c r="AE13">
        <f>1-U13</f>
        <v>0.70391569169484203</v>
      </c>
      <c r="AF13">
        <f t="shared" ref="AF13:AG20" si="1">1-V13</f>
        <v>0.69345599431845795</v>
      </c>
      <c r="AG13">
        <f>1-W13</f>
        <v>0.67513677440364894</v>
      </c>
      <c r="AH13">
        <f>AD13/(AD13+AE13+AF13+AG13)</f>
        <v>0.25056823521472904</v>
      </c>
    </row>
    <row r="14" spans="1:34">
      <c r="A14" s="3" t="s">
        <v>85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>
        <v>2</v>
      </c>
      <c r="S14" t="s">
        <v>23</v>
      </c>
      <c r="T14">
        <v>0.33453885020706398</v>
      </c>
      <c r="U14" s="1">
        <v>0.30468226999999998</v>
      </c>
      <c r="V14" s="1">
        <v>0.38887132000000002</v>
      </c>
      <c r="W14">
        <v>0.39540771831754001</v>
      </c>
      <c r="Y14">
        <f t="shared" ref="Y14:Y20" si="2">T14/(T14+U14+V14+W14)</f>
        <v>0.23501145974848289</v>
      </c>
      <c r="AD14">
        <f t="shared" ref="AD14:AE20" si="3">1-T14</f>
        <v>0.66546114979293602</v>
      </c>
      <c r="AE14">
        <f t="shared" si="3"/>
        <v>0.69531772999999997</v>
      </c>
      <c r="AF14">
        <f t="shared" si="1"/>
        <v>0.61112867999999998</v>
      </c>
      <c r="AG14">
        <f t="shared" si="1"/>
        <v>0.60459228168246004</v>
      </c>
      <c r="AH14">
        <f t="shared" ref="AH14:AH20" si="4">AD14/(AD14+AE14+AF14+AG14)</f>
        <v>0.25828107538786771</v>
      </c>
    </row>
    <row r="15" spans="1:34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  <c r="J15" t="s">
        <v>15</v>
      </c>
      <c r="K15" t="s">
        <v>16</v>
      </c>
      <c r="L15" t="s">
        <v>17</v>
      </c>
      <c r="M15" t="s">
        <v>18</v>
      </c>
      <c r="N15" t="s">
        <v>19</v>
      </c>
      <c r="O15" t="s">
        <v>20</v>
      </c>
      <c r="P15" t="s">
        <v>21</v>
      </c>
      <c r="R15">
        <v>3</v>
      </c>
      <c r="S15" t="s">
        <v>24</v>
      </c>
      <c r="T15">
        <v>0.31390766076292298</v>
      </c>
      <c r="U15">
        <v>0.32956164129228499</v>
      </c>
      <c r="V15" s="1">
        <v>0.38137747</v>
      </c>
      <c r="W15" s="1">
        <v>0.37346868</v>
      </c>
      <c r="Y15">
        <f t="shared" si="2"/>
        <v>0.22448987480010293</v>
      </c>
      <c r="AD15">
        <f t="shared" si="3"/>
        <v>0.68609233923707702</v>
      </c>
      <c r="AE15">
        <f t="shared" si="3"/>
        <v>0.67043835870771495</v>
      </c>
      <c r="AF15">
        <f t="shared" si="1"/>
        <v>0.61862253</v>
      </c>
      <c r="AG15">
        <f t="shared" si="1"/>
        <v>0.62653132</v>
      </c>
      <c r="AH15">
        <f t="shared" si="4"/>
        <v>0.26371080989778622</v>
      </c>
    </row>
    <row r="16" spans="1:34">
      <c r="A16">
        <v>99.942269057508199</v>
      </c>
      <c r="B16">
        <v>0.282413502739851</v>
      </c>
      <c r="C16">
        <v>0.20481260445902</v>
      </c>
      <c r="D16">
        <v>0.378340717732017</v>
      </c>
      <c r="E16">
        <v>0.334083403523179</v>
      </c>
      <c r="F16">
        <v>0.313207562044716</v>
      </c>
      <c r="G16">
        <v>0.37614116552615801</v>
      </c>
      <c r="H16">
        <v>0.33453885020706398</v>
      </c>
      <c r="I16">
        <v>0.296813408596386</v>
      </c>
      <c r="J16">
        <v>0.39888169720286298</v>
      </c>
      <c r="K16">
        <v>2.8429234989450498E-2</v>
      </c>
      <c r="L16">
        <v>0</v>
      </c>
      <c r="M16">
        <v>0.77001799134708104</v>
      </c>
      <c r="N16">
        <v>12.475411126649901</v>
      </c>
      <c r="O16">
        <v>4.2599900382901996</v>
      </c>
      <c r="P16">
        <v>16.779960761152498</v>
      </c>
      <c r="R16">
        <v>4</v>
      </c>
      <c r="S16" t="s">
        <v>40</v>
      </c>
      <c r="T16">
        <v>0.30487997247311899</v>
      </c>
      <c r="U16">
        <v>0.33133993450538002</v>
      </c>
      <c r="V16">
        <v>0.366632761403269</v>
      </c>
      <c r="W16">
        <v>0.37213173189636001</v>
      </c>
      <c r="Y16">
        <f t="shared" si="2"/>
        <v>0.22173340469277231</v>
      </c>
      <c r="AD16">
        <f t="shared" si="3"/>
        <v>0.69512002752688096</v>
      </c>
      <c r="AE16">
        <f t="shared" si="3"/>
        <v>0.66866006549461998</v>
      </c>
      <c r="AF16">
        <f t="shared" si="1"/>
        <v>0.63336723859673105</v>
      </c>
      <c r="AG16">
        <f t="shared" si="1"/>
        <v>0.62786826810364005</v>
      </c>
      <c r="AH16">
        <f t="shared" si="4"/>
        <v>0.26480605585754652</v>
      </c>
    </row>
    <row r="17" spans="1:46">
      <c r="R17">
        <v>6</v>
      </c>
      <c r="S17" t="s">
        <v>41</v>
      </c>
      <c r="T17" s="1">
        <v>0.40079544</v>
      </c>
      <c r="U17">
        <v>0.39430581509512103</v>
      </c>
      <c r="V17">
        <v>0.58828520262059503</v>
      </c>
      <c r="W17">
        <v>0.44963384010486401</v>
      </c>
      <c r="Y17">
        <f t="shared" si="2"/>
        <v>0.21865302881617663</v>
      </c>
      <c r="AD17">
        <f t="shared" si="3"/>
        <v>0.59920456</v>
      </c>
      <c r="AE17">
        <f t="shared" si="3"/>
        <v>0.60569418490487892</v>
      </c>
      <c r="AF17">
        <f t="shared" si="1"/>
        <v>0.41171479737940497</v>
      </c>
      <c r="AG17">
        <f t="shared" si="1"/>
        <v>0.55036615989513593</v>
      </c>
      <c r="AH17">
        <f t="shared" si="4"/>
        <v>0.27651600031018081</v>
      </c>
    </row>
    <row r="18" spans="1:46">
      <c r="A18" s="1" t="s">
        <v>6</v>
      </c>
      <c r="B18" s="1" t="s">
        <v>25</v>
      </c>
      <c r="C18" s="1" t="s">
        <v>26</v>
      </c>
      <c r="D18" s="1" t="s">
        <v>27</v>
      </c>
      <c r="E18" s="1" t="s">
        <v>28</v>
      </c>
      <c r="F18" s="1" t="s">
        <v>29</v>
      </c>
      <c r="G18" s="1" t="s">
        <v>30</v>
      </c>
      <c r="H18" s="1" t="s">
        <v>31</v>
      </c>
      <c r="I18" s="1" t="s">
        <v>32</v>
      </c>
      <c r="J18" s="1" t="s">
        <v>33</v>
      </c>
      <c r="K18" s="1" t="s">
        <v>34</v>
      </c>
      <c r="L18" s="1" t="s">
        <v>35</v>
      </c>
      <c r="M18" s="1" t="s">
        <v>36</v>
      </c>
      <c r="N18" s="1" t="s">
        <v>37</v>
      </c>
      <c r="O18" s="1" t="s">
        <v>38</v>
      </c>
      <c r="P18" s="1" t="s">
        <v>39</v>
      </c>
      <c r="R18">
        <v>7</v>
      </c>
      <c r="S18" t="s">
        <v>42</v>
      </c>
      <c r="T18" s="1">
        <v>0.35661593000000003</v>
      </c>
      <c r="U18">
        <v>0.38337904998837002</v>
      </c>
      <c r="V18" s="1">
        <v>0.58308190000000004</v>
      </c>
      <c r="W18">
        <v>0.33048153026259902</v>
      </c>
      <c r="Y18">
        <f t="shared" si="2"/>
        <v>0.21566575924334877</v>
      </c>
      <c r="AD18">
        <f t="shared" si="3"/>
        <v>0.64338406999999997</v>
      </c>
      <c r="AE18">
        <f t="shared" si="3"/>
        <v>0.61662095001162998</v>
      </c>
      <c r="AF18">
        <f t="shared" si="1"/>
        <v>0.41691809999999996</v>
      </c>
      <c r="AG18">
        <f t="shared" si="1"/>
        <v>0.66951846973740103</v>
      </c>
      <c r="AH18">
        <f t="shared" si="4"/>
        <v>0.27419564706437655</v>
      </c>
    </row>
    <row r="19" spans="1:46">
      <c r="A19" s="1">
        <v>99.942269100000004</v>
      </c>
      <c r="B19" s="1">
        <v>0.2476061</v>
      </c>
      <c r="C19" s="1">
        <v>0.19792224999999999</v>
      </c>
      <c r="D19" s="1">
        <v>0.30184715000000001</v>
      </c>
      <c r="E19" s="1">
        <v>0.32237585000000002</v>
      </c>
      <c r="F19" s="1">
        <v>0.30198905999999998</v>
      </c>
      <c r="G19" s="1">
        <v>0.36808204999999999</v>
      </c>
      <c r="H19" s="1">
        <v>0.30468226999999998</v>
      </c>
      <c r="I19" s="1">
        <v>0.29396739</v>
      </c>
      <c r="J19" s="1">
        <v>0.34481726000000001</v>
      </c>
      <c r="K19" s="1">
        <v>9.4764999999999997E-4</v>
      </c>
      <c r="L19" s="1">
        <v>0</v>
      </c>
      <c r="M19" s="1">
        <v>0.77001799000000004</v>
      </c>
      <c r="N19" s="1">
        <v>12.392692200000001</v>
      </c>
      <c r="O19" s="1">
        <v>10.4999754</v>
      </c>
      <c r="P19" s="1">
        <v>14.7899654</v>
      </c>
      <c r="R19" s="1">
        <v>8</v>
      </c>
      <c r="S19" t="s">
        <v>58</v>
      </c>
      <c r="T19" s="1">
        <v>0.29751949</v>
      </c>
      <c r="U19">
        <v>0.34013280844399502</v>
      </c>
      <c r="V19">
        <v>0.430143215128025</v>
      </c>
      <c r="W19">
        <v>0.392636751844742</v>
      </c>
      <c r="Y19">
        <f t="shared" si="2"/>
        <v>0.20372015672708874</v>
      </c>
      <c r="AD19">
        <f t="shared" si="3"/>
        <v>0.70248051</v>
      </c>
      <c r="AE19">
        <f t="shared" si="3"/>
        <v>0.65986719155600504</v>
      </c>
      <c r="AF19">
        <f t="shared" si="1"/>
        <v>0.569856784871975</v>
      </c>
      <c r="AG19">
        <f t="shared" si="1"/>
        <v>0.607363248155258</v>
      </c>
      <c r="AH19">
        <f t="shared" si="4"/>
        <v>0.2766142050215023</v>
      </c>
    </row>
    <row r="20" spans="1:46">
      <c r="R20">
        <v>5</v>
      </c>
      <c r="S20" t="s">
        <v>59</v>
      </c>
      <c r="T20" s="1">
        <v>0.31713148000000002</v>
      </c>
      <c r="U20">
        <v>0.38284335332269498</v>
      </c>
      <c r="V20">
        <v>0.452850376594643</v>
      </c>
      <c r="W20">
        <v>0.44737310309502099</v>
      </c>
      <c r="Y20">
        <f t="shared" si="2"/>
        <v>0.19818261113086844</v>
      </c>
      <c r="AD20">
        <f t="shared" si="3"/>
        <v>0.68286851999999998</v>
      </c>
      <c r="AE20">
        <f t="shared" si="3"/>
        <v>0.61715664667730508</v>
      </c>
      <c r="AF20">
        <f t="shared" si="1"/>
        <v>0.547149623405357</v>
      </c>
      <c r="AG20">
        <f t="shared" si="1"/>
        <v>0.55262689690497901</v>
      </c>
      <c r="AH20">
        <f t="shared" si="4"/>
        <v>0.28455206265696603</v>
      </c>
    </row>
    <row r="21" spans="1:46">
      <c r="A21" s="1" t="s">
        <v>6</v>
      </c>
      <c r="B21" s="1" t="s">
        <v>43</v>
      </c>
      <c r="C21" s="1" t="s">
        <v>44</v>
      </c>
      <c r="D21" s="1" t="s">
        <v>45</v>
      </c>
      <c r="E21" s="1" t="s">
        <v>46</v>
      </c>
      <c r="F21" s="1" t="s">
        <v>47</v>
      </c>
      <c r="G21" s="1" t="s">
        <v>48</v>
      </c>
      <c r="H21" s="1" t="s">
        <v>49</v>
      </c>
      <c r="I21" s="1" t="s">
        <v>50</v>
      </c>
      <c r="J21" s="1" t="s">
        <v>51</v>
      </c>
      <c r="K21" s="1" t="s">
        <v>52</v>
      </c>
      <c r="L21" s="1" t="s">
        <v>53</v>
      </c>
      <c r="M21" s="1" t="s">
        <v>54</v>
      </c>
      <c r="N21" s="1" t="s">
        <v>55</v>
      </c>
      <c r="O21" s="1" t="s">
        <v>56</v>
      </c>
      <c r="P21" s="1" t="s">
        <v>57</v>
      </c>
    </row>
    <row r="22" spans="1:46">
      <c r="A22" s="1">
        <v>99.942269100000004</v>
      </c>
      <c r="B22" s="1">
        <v>0.34740906999999999</v>
      </c>
      <c r="C22" s="1">
        <v>0.24353931000000001</v>
      </c>
      <c r="D22" s="1">
        <v>0.44980646000000002</v>
      </c>
      <c r="E22" s="1">
        <v>0.37665946</v>
      </c>
      <c r="F22" s="1">
        <v>0.33540608999999999</v>
      </c>
      <c r="G22" s="1">
        <v>0.41599523999999999</v>
      </c>
      <c r="H22" s="1">
        <v>0.38887132000000002</v>
      </c>
      <c r="I22" s="1">
        <v>0.32084489999999999</v>
      </c>
      <c r="J22" s="1">
        <v>0.45815922999999997</v>
      </c>
      <c r="K22" s="1">
        <v>1.75998E-3</v>
      </c>
      <c r="L22" s="1">
        <v>0</v>
      </c>
      <c r="M22" s="1">
        <v>9.0002100000000002E-2</v>
      </c>
      <c r="N22" s="1">
        <v>7.13414342</v>
      </c>
      <c r="O22" s="1">
        <v>0.50999881000000002</v>
      </c>
      <c r="P22" s="1">
        <v>12.9499697</v>
      </c>
    </row>
    <row r="24" spans="1:46">
      <c r="A24" t="s">
        <v>6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 t="s">
        <v>65</v>
      </c>
      <c r="H24" t="s">
        <v>66</v>
      </c>
      <c r="I24" t="s">
        <v>67</v>
      </c>
      <c r="J24" t="s">
        <v>68</v>
      </c>
      <c r="K24" t="s">
        <v>69</v>
      </c>
      <c r="L24" t="s">
        <v>70</v>
      </c>
      <c r="M24" t="s">
        <v>71</v>
      </c>
      <c r="N24" t="s">
        <v>72</v>
      </c>
      <c r="O24" t="s">
        <v>73</v>
      </c>
      <c r="P24" t="s">
        <v>74</v>
      </c>
    </row>
    <row r="25" spans="1:46">
      <c r="A25">
        <v>99.942269057508199</v>
      </c>
      <c r="B25">
        <v>0.293970725481638</v>
      </c>
      <c r="C25">
        <v>0.23821781085427701</v>
      </c>
      <c r="D25">
        <v>0.45176555453943401</v>
      </c>
      <c r="E25">
        <v>0.43435952999792199</v>
      </c>
      <c r="F25">
        <v>0.412297783103654</v>
      </c>
      <c r="G25">
        <v>0.48218480968749</v>
      </c>
      <c r="H25">
        <v>0.39540771831754001</v>
      </c>
      <c r="I25">
        <v>0.349113872157926</v>
      </c>
      <c r="J25">
        <v>0.50551464791397305</v>
      </c>
      <c r="K25">
        <v>0.17355792111509999</v>
      </c>
      <c r="L25">
        <v>0</v>
      </c>
      <c r="M25">
        <v>0.35000817788503302</v>
      </c>
      <c r="N25">
        <v>10.250553763574301</v>
      </c>
      <c r="O25">
        <v>1.99999532314061E-2</v>
      </c>
      <c r="P25">
        <v>14.2399667007635</v>
      </c>
      <c r="AT25" t="s">
        <v>83</v>
      </c>
    </row>
    <row r="27" spans="1:46">
      <c r="A27" s="3" t="s">
        <v>86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46">
      <c r="A28" t="s">
        <v>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  <c r="G28" t="s">
        <v>12</v>
      </c>
      <c r="H28" t="s">
        <v>13</v>
      </c>
      <c r="I28" t="s">
        <v>14</v>
      </c>
      <c r="J28" t="s">
        <v>15</v>
      </c>
      <c r="K28" t="s">
        <v>16</v>
      </c>
      <c r="L28" t="s">
        <v>17</v>
      </c>
      <c r="M28" t="s">
        <v>18</v>
      </c>
      <c r="N28" t="s">
        <v>19</v>
      </c>
      <c r="O28" t="s">
        <v>20</v>
      </c>
      <c r="P28" t="s">
        <v>21</v>
      </c>
      <c r="U28" s="1"/>
      <c r="V28" s="1"/>
      <c r="AC28" s="1"/>
      <c r="AD28" s="1"/>
    </row>
    <row r="29" spans="1:46">
      <c r="A29">
        <v>99.952418633294599</v>
      </c>
      <c r="B29">
        <v>0.25360533219533998</v>
      </c>
      <c r="C29">
        <v>0.20168080476806099</v>
      </c>
      <c r="D29">
        <v>0.28452272082242702</v>
      </c>
      <c r="E29">
        <v>0.32106423529690098</v>
      </c>
      <c r="F29">
        <v>0.31934305130711699</v>
      </c>
      <c r="G29">
        <v>0.32825951562549199</v>
      </c>
      <c r="H29">
        <v>0.31390766076292298</v>
      </c>
      <c r="I29">
        <v>0.27857052757718098</v>
      </c>
      <c r="J29">
        <v>0.327845621393207</v>
      </c>
      <c r="K29">
        <v>7.9612397229898799E-3</v>
      </c>
      <c r="L29">
        <v>0</v>
      </c>
      <c r="M29">
        <v>0.78001822500094198</v>
      </c>
      <c r="N29">
        <v>13.178217897088199</v>
      </c>
      <c r="O29">
        <v>7.16998323346027</v>
      </c>
      <c r="P29">
        <v>15.549963637420801</v>
      </c>
      <c r="V29" s="1"/>
      <c r="W29" s="1"/>
      <c r="AD29" s="1"/>
      <c r="AE29" s="1"/>
    </row>
    <row r="31" spans="1:46">
      <c r="A31" t="s">
        <v>6</v>
      </c>
      <c r="B31" t="s">
        <v>25</v>
      </c>
      <c r="C31" t="s">
        <v>26</v>
      </c>
      <c r="D31" t="s">
        <v>27</v>
      </c>
      <c r="E31" t="s">
        <v>28</v>
      </c>
      <c r="F31" t="s">
        <v>29</v>
      </c>
      <c r="G31" t="s">
        <v>30</v>
      </c>
      <c r="H31" t="s">
        <v>31</v>
      </c>
      <c r="I31" t="s">
        <v>32</v>
      </c>
      <c r="J31" t="s">
        <v>33</v>
      </c>
      <c r="K31" t="s">
        <v>34</v>
      </c>
      <c r="L31" t="s">
        <v>35</v>
      </c>
      <c r="M31" t="s">
        <v>36</v>
      </c>
      <c r="N31" t="s">
        <v>37</v>
      </c>
      <c r="O31" t="s">
        <v>38</v>
      </c>
      <c r="P31" t="s">
        <v>39</v>
      </c>
      <c r="T31" s="1"/>
      <c r="AB31" s="1"/>
    </row>
    <row r="32" spans="1:46">
      <c r="A32">
        <v>99.952418633294599</v>
      </c>
      <c r="B32">
        <v>0.25649534516007799</v>
      </c>
      <c r="C32">
        <v>0.237466888461417</v>
      </c>
      <c r="D32">
        <v>0.25719978871684901</v>
      </c>
      <c r="E32">
        <v>0.34645042334887399</v>
      </c>
      <c r="F32">
        <v>0.34597221784238902</v>
      </c>
      <c r="G32">
        <v>0.36114833969285098</v>
      </c>
      <c r="H32">
        <v>0.32956164129228499</v>
      </c>
      <c r="I32">
        <v>0.32488135032007798</v>
      </c>
      <c r="J32">
        <v>0.33105231623095999</v>
      </c>
      <c r="K32">
        <v>1.16577482839328E-2</v>
      </c>
      <c r="L32">
        <v>0</v>
      </c>
      <c r="M32">
        <v>0.48001121538518798</v>
      </c>
      <c r="N32">
        <v>12.688914009529199</v>
      </c>
      <c r="O32">
        <v>11.3799733886719</v>
      </c>
      <c r="P32">
        <v>13.019969553647501</v>
      </c>
      <c r="T32" s="1"/>
      <c r="V32" s="1"/>
      <c r="AB32" s="1"/>
      <c r="AD32" s="1"/>
    </row>
    <row r="33" spans="1:28">
      <c r="T33" s="1"/>
      <c r="AB33" s="1"/>
    </row>
    <row r="34" spans="1:28">
      <c r="A34" s="1" t="s">
        <v>6</v>
      </c>
      <c r="B34" s="1" t="s">
        <v>43</v>
      </c>
      <c r="C34" s="1" t="s">
        <v>44</v>
      </c>
      <c r="D34" s="1" t="s">
        <v>45</v>
      </c>
      <c r="E34" s="1" t="s">
        <v>46</v>
      </c>
      <c r="F34" s="1" t="s">
        <v>47</v>
      </c>
      <c r="G34" s="1" t="s">
        <v>48</v>
      </c>
      <c r="H34" s="1" t="s">
        <v>49</v>
      </c>
      <c r="I34" s="1" t="s">
        <v>50</v>
      </c>
      <c r="J34" s="1" t="s">
        <v>51</v>
      </c>
      <c r="K34" s="1" t="s">
        <v>52</v>
      </c>
      <c r="L34" s="1" t="s">
        <v>53</v>
      </c>
      <c r="M34" s="1" t="s">
        <v>54</v>
      </c>
      <c r="N34" s="1" t="s">
        <v>55</v>
      </c>
      <c r="O34" s="1" t="s">
        <v>56</v>
      </c>
      <c r="P34" s="1" t="s">
        <v>57</v>
      </c>
      <c r="T34" s="1"/>
      <c r="AB34" s="1"/>
    </row>
    <row r="35" spans="1:28">
      <c r="A35" s="1">
        <v>99.952418600000001</v>
      </c>
      <c r="B35" s="1">
        <v>0.30644284999999999</v>
      </c>
      <c r="C35" s="1">
        <v>0.30488631999999999</v>
      </c>
      <c r="D35" s="1">
        <v>0.35813085</v>
      </c>
      <c r="E35" s="1">
        <v>0.39445975</v>
      </c>
      <c r="F35" s="1">
        <v>0.39391693999999999</v>
      </c>
      <c r="G35" s="1">
        <v>0.42490381999999999</v>
      </c>
      <c r="H35" s="1">
        <v>0.38137747</v>
      </c>
      <c r="I35" s="1">
        <v>0.38073932999999999</v>
      </c>
      <c r="J35" s="1">
        <v>0.42370943999999999</v>
      </c>
      <c r="K35" s="1">
        <v>0</v>
      </c>
      <c r="L35" s="1">
        <v>0</v>
      </c>
      <c r="M35" s="1">
        <v>0</v>
      </c>
      <c r="N35" s="1">
        <v>5.3166972100000001</v>
      </c>
      <c r="O35" s="1">
        <v>1.21999715</v>
      </c>
      <c r="P35" s="1">
        <v>5.9699860400000002</v>
      </c>
    </row>
    <row r="37" spans="1:28">
      <c r="A37" s="1" t="s">
        <v>6</v>
      </c>
      <c r="B37" s="1" t="s">
        <v>60</v>
      </c>
      <c r="C37" s="1" t="s">
        <v>61</v>
      </c>
      <c r="D37" s="1" t="s">
        <v>62</v>
      </c>
      <c r="E37" s="1" t="s">
        <v>63</v>
      </c>
      <c r="F37" s="1" t="s">
        <v>64</v>
      </c>
      <c r="G37" s="1" t="s">
        <v>65</v>
      </c>
      <c r="H37" s="1" t="s">
        <v>66</v>
      </c>
      <c r="I37" s="1" t="s">
        <v>67</v>
      </c>
      <c r="J37" s="1" t="s">
        <v>68</v>
      </c>
      <c r="K37" s="1" t="s">
        <v>69</v>
      </c>
      <c r="L37" s="1" t="s">
        <v>70</v>
      </c>
      <c r="M37" s="1" t="s">
        <v>71</v>
      </c>
      <c r="N37" s="1" t="s">
        <v>72</v>
      </c>
      <c r="O37" s="1" t="s">
        <v>73</v>
      </c>
      <c r="P37" s="1" t="s">
        <v>74</v>
      </c>
    </row>
    <row r="38" spans="1:28">
      <c r="A38" s="1">
        <v>99.952418600000001</v>
      </c>
      <c r="B38" s="1">
        <v>0.28366015</v>
      </c>
      <c r="C38" s="1">
        <v>0.26970334000000001</v>
      </c>
      <c r="D38" s="1">
        <v>0.28504896000000002</v>
      </c>
      <c r="E38" s="1">
        <v>0.39259402999999998</v>
      </c>
      <c r="F38" s="1">
        <v>0.39021357000000001</v>
      </c>
      <c r="G38" s="1">
        <v>0.40716746999999998</v>
      </c>
      <c r="H38" s="1">
        <v>0.37346868</v>
      </c>
      <c r="I38" s="1">
        <v>0.36185392999999999</v>
      </c>
      <c r="J38" s="1">
        <v>0.37449346999999999</v>
      </c>
      <c r="K38" s="1">
        <v>0.48737792000000002</v>
      </c>
      <c r="L38" s="1">
        <v>0.39000910999999999</v>
      </c>
      <c r="M38" s="1">
        <v>0.87002033000000001</v>
      </c>
      <c r="N38" s="1">
        <v>11.431415599999999</v>
      </c>
      <c r="O38" s="1">
        <v>10.0399765</v>
      </c>
      <c r="P38" s="1">
        <v>11.659972700000001</v>
      </c>
    </row>
    <row r="40" spans="1:28">
      <c r="A40" s="3" t="s">
        <v>87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28">
      <c r="A41" t="s">
        <v>6</v>
      </c>
      <c r="B41" t="s">
        <v>7</v>
      </c>
      <c r="C41" t="s">
        <v>8</v>
      </c>
      <c r="D41" t="s">
        <v>9</v>
      </c>
      <c r="E41" t="s">
        <v>10</v>
      </c>
      <c r="F41" t="s">
        <v>11</v>
      </c>
      <c r="G41" t="s">
        <v>12</v>
      </c>
      <c r="H41" t="s">
        <v>13</v>
      </c>
      <c r="I41" t="s">
        <v>14</v>
      </c>
      <c r="J41" t="s">
        <v>15</v>
      </c>
      <c r="K41" t="s">
        <v>16</v>
      </c>
      <c r="L41" t="s">
        <v>17</v>
      </c>
      <c r="M41" t="s">
        <v>18</v>
      </c>
      <c r="N41" t="s">
        <v>19</v>
      </c>
      <c r="O41" t="s">
        <v>20</v>
      </c>
      <c r="P41" t="s">
        <v>21</v>
      </c>
    </row>
    <row r="42" spans="1:28">
      <c r="A42">
        <v>99.920950999701802</v>
      </c>
      <c r="B42">
        <v>0.243861981339105</v>
      </c>
      <c r="C42">
        <v>0.20150145060073699</v>
      </c>
      <c r="D42">
        <v>0.274674009018952</v>
      </c>
      <c r="E42">
        <v>0.31505068558472499</v>
      </c>
      <c r="F42">
        <v>0.315040522216265</v>
      </c>
      <c r="G42">
        <v>0.32258719371826799</v>
      </c>
      <c r="H42">
        <v>0.30487997247311899</v>
      </c>
      <c r="I42">
        <v>0.27796151177824702</v>
      </c>
      <c r="J42">
        <v>0.31946327772697097</v>
      </c>
      <c r="K42">
        <v>1.0712641120781101E-2</v>
      </c>
      <c r="L42">
        <v>0</v>
      </c>
      <c r="M42">
        <v>0.61001425288535605</v>
      </c>
      <c r="N42">
        <v>13.6029935259228</v>
      </c>
      <c r="O42">
        <v>6.3899850574353101</v>
      </c>
      <c r="P42">
        <v>15.599963520499299</v>
      </c>
      <c r="U42" s="1"/>
      <c r="V42" s="1"/>
    </row>
    <row r="43" spans="1:28">
      <c r="V43" s="1"/>
      <c r="W43" s="1"/>
    </row>
    <row r="44" spans="1:28">
      <c r="A44" t="s">
        <v>6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32</v>
      </c>
      <c r="J44" t="s">
        <v>33</v>
      </c>
      <c r="K44" t="s">
        <v>34</v>
      </c>
      <c r="L44" t="s">
        <v>35</v>
      </c>
      <c r="M44" t="s">
        <v>36</v>
      </c>
      <c r="N44" t="s">
        <v>37</v>
      </c>
      <c r="O44" t="s">
        <v>38</v>
      </c>
      <c r="P44" t="s">
        <v>39</v>
      </c>
    </row>
    <row r="45" spans="1:28">
      <c r="A45">
        <v>99.920950999701802</v>
      </c>
      <c r="B45">
        <v>0.26564480124579098</v>
      </c>
      <c r="C45">
        <v>0.249931017627952</v>
      </c>
      <c r="D45">
        <v>0.26567476585411998</v>
      </c>
      <c r="E45">
        <v>0.33794962564630299</v>
      </c>
      <c r="F45">
        <v>0.33791704771214998</v>
      </c>
      <c r="G45">
        <v>0.35242896786604</v>
      </c>
      <c r="H45">
        <v>0.33133993450538002</v>
      </c>
      <c r="I45">
        <v>0.32606390526946399</v>
      </c>
      <c r="J45">
        <v>0.331345984043391</v>
      </c>
      <c r="K45">
        <v>5.1985015560986004E-4</v>
      </c>
      <c r="L45">
        <v>0</v>
      </c>
      <c r="M45">
        <v>0.44001028076975601</v>
      </c>
      <c r="N45">
        <v>12.6394256869053</v>
      </c>
      <c r="O45">
        <v>12.0299718686927</v>
      </c>
      <c r="P45">
        <v>12.7699701382549</v>
      </c>
      <c r="T45" s="1"/>
    </row>
    <row r="46" spans="1:28">
      <c r="T46" s="1"/>
      <c r="V46" s="1"/>
    </row>
    <row r="47" spans="1:28">
      <c r="A47" t="s">
        <v>6</v>
      </c>
      <c r="B47" t="s">
        <v>43</v>
      </c>
      <c r="C47" t="s">
        <v>44</v>
      </c>
      <c r="D47" t="s">
        <v>45</v>
      </c>
      <c r="E47" t="s">
        <v>46</v>
      </c>
      <c r="F47" t="s">
        <v>47</v>
      </c>
      <c r="G47" t="s">
        <v>48</v>
      </c>
      <c r="H47" t="s">
        <v>49</v>
      </c>
      <c r="I47" t="s">
        <v>50</v>
      </c>
      <c r="J47" t="s">
        <v>51</v>
      </c>
      <c r="K47" t="s">
        <v>52</v>
      </c>
      <c r="L47" t="s">
        <v>53</v>
      </c>
      <c r="M47" t="s">
        <v>54</v>
      </c>
      <c r="N47" t="s">
        <v>55</v>
      </c>
      <c r="O47" t="s">
        <v>56</v>
      </c>
      <c r="P47" t="s">
        <v>57</v>
      </c>
      <c r="T47" s="1"/>
    </row>
    <row r="48" spans="1:28">
      <c r="A48">
        <v>99.920950999701802</v>
      </c>
      <c r="B48">
        <v>0.285644527305083</v>
      </c>
      <c r="C48">
        <v>0.28555745640314001</v>
      </c>
      <c r="D48">
        <v>0.34121046324619198</v>
      </c>
      <c r="E48">
        <v>0.38432105736484001</v>
      </c>
      <c r="F48">
        <v>0.38427517265302202</v>
      </c>
      <c r="G48">
        <v>0.41484027624483599</v>
      </c>
      <c r="H48">
        <v>0.366632761403269</v>
      </c>
      <c r="I48">
        <v>0.36656049951121</v>
      </c>
      <c r="J48">
        <v>0.41029532338935998</v>
      </c>
      <c r="K48">
        <v>2.9954317614279399E-2</v>
      </c>
      <c r="L48">
        <v>0</v>
      </c>
      <c r="M48">
        <v>3.0000700961569999E-2</v>
      </c>
      <c r="N48">
        <v>9.5420597651308601</v>
      </c>
      <c r="O48">
        <v>4.5599893367613502</v>
      </c>
      <c r="P48">
        <v>9.5499776679980002</v>
      </c>
      <c r="T48" s="1"/>
    </row>
    <row r="50" spans="1:24">
      <c r="A50" t="s">
        <v>6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 t="s">
        <v>65</v>
      </c>
      <c r="H50" t="s">
        <v>66</v>
      </c>
      <c r="I50" t="s">
        <v>67</v>
      </c>
      <c r="J50" t="s">
        <v>68</v>
      </c>
      <c r="K50" t="s">
        <v>69</v>
      </c>
      <c r="L50" t="s">
        <v>70</v>
      </c>
      <c r="M50" t="s">
        <v>71</v>
      </c>
      <c r="N50" t="s">
        <v>72</v>
      </c>
      <c r="O50" t="s">
        <v>73</v>
      </c>
      <c r="P50" t="s">
        <v>74</v>
      </c>
      <c r="T50" s="2"/>
      <c r="U50" s="2"/>
      <c r="V50" s="2"/>
      <c r="W50" s="2"/>
      <c r="X50" s="2"/>
    </row>
    <row r="51" spans="1:24">
      <c r="A51">
        <v>99.920950999701802</v>
      </c>
      <c r="B51">
        <v>0.29489946834078801</v>
      </c>
      <c r="C51">
        <v>0.26966983065813099</v>
      </c>
      <c r="D51">
        <v>0.29494102992652299</v>
      </c>
      <c r="E51">
        <v>0.378105599192535</v>
      </c>
      <c r="F51">
        <v>0.37245750685881801</v>
      </c>
      <c r="G51">
        <v>0.392838841411497</v>
      </c>
      <c r="H51">
        <v>0.37213173189636001</v>
      </c>
      <c r="I51">
        <v>0.35433485225946798</v>
      </c>
      <c r="J51">
        <v>0.37215792627164002</v>
      </c>
      <c r="K51">
        <v>0.499876104228064</v>
      </c>
      <c r="L51">
        <v>0.40000934615432499</v>
      </c>
      <c r="M51">
        <v>0.50001168269290996</v>
      </c>
      <c r="N51">
        <v>10.780014914828801</v>
      </c>
      <c r="O51">
        <v>9.3299781824524892</v>
      </c>
      <c r="P51">
        <v>11.739972546837301</v>
      </c>
    </row>
    <row r="52" spans="1:24">
      <c r="U52" s="1"/>
      <c r="V52" s="1"/>
    </row>
    <row r="53" spans="1:24">
      <c r="A53" s="3" t="s">
        <v>88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V53" s="1"/>
      <c r="W53" s="1"/>
    </row>
    <row r="54" spans="1:24">
      <c r="A54" s="1" t="s">
        <v>6</v>
      </c>
      <c r="B54" s="1" t="s">
        <v>7</v>
      </c>
      <c r="C54" s="1" t="s">
        <v>8</v>
      </c>
      <c r="D54" s="1" t="s">
        <v>9</v>
      </c>
      <c r="E54" s="1" t="s">
        <v>10</v>
      </c>
      <c r="F54" s="1" t="s">
        <v>11</v>
      </c>
      <c r="G54" s="1" t="s">
        <v>12</v>
      </c>
      <c r="H54" s="1" t="s">
        <v>13</v>
      </c>
      <c r="I54" s="1" t="s">
        <v>14</v>
      </c>
      <c r="J54" s="1" t="s">
        <v>15</v>
      </c>
      <c r="K54" s="1" t="s">
        <v>16</v>
      </c>
      <c r="L54" s="1" t="s">
        <v>17</v>
      </c>
      <c r="M54" s="1" t="s">
        <v>18</v>
      </c>
      <c r="N54" s="1" t="s">
        <v>19</v>
      </c>
      <c r="O54" s="1" t="s">
        <v>20</v>
      </c>
      <c r="P54" s="1" t="s">
        <v>21</v>
      </c>
    </row>
    <row r="55" spans="1:24">
      <c r="A55" s="1">
        <v>99.975616900000006</v>
      </c>
      <c r="B55" s="1">
        <v>0.35196902000000002</v>
      </c>
      <c r="C55" s="1">
        <v>0.20482639999999999</v>
      </c>
      <c r="D55" s="1">
        <v>0.40081517</v>
      </c>
      <c r="E55" s="1">
        <v>0.38605244</v>
      </c>
      <c r="F55" s="1">
        <v>0.34569825999999998</v>
      </c>
      <c r="G55" s="1">
        <v>0.41087083000000002</v>
      </c>
      <c r="H55" s="1">
        <v>0.40079544</v>
      </c>
      <c r="I55" s="1">
        <v>0.31248226000000001</v>
      </c>
      <c r="J55" s="1">
        <v>0.43178432</v>
      </c>
      <c r="K55" s="1">
        <v>1.392965E-2</v>
      </c>
      <c r="L55" s="1">
        <v>0</v>
      </c>
      <c r="M55" s="1">
        <v>0.89002079999999995</v>
      </c>
      <c r="N55" s="1">
        <v>9.3334937900000003</v>
      </c>
      <c r="O55" s="1">
        <v>4.2599900399999999</v>
      </c>
      <c r="P55" s="1">
        <v>16.849960599999999</v>
      </c>
    </row>
    <row r="56" spans="1:24">
      <c r="T56" s="1"/>
      <c r="V56" s="1"/>
    </row>
    <row r="57" spans="1:24">
      <c r="A57" t="s">
        <v>6</v>
      </c>
      <c r="B57" t="s">
        <v>25</v>
      </c>
      <c r="C57" t="s">
        <v>26</v>
      </c>
      <c r="D57" t="s">
        <v>27</v>
      </c>
      <c r="E57" t="s">
        <v>28</v>
      </c>
      <c r="F57" t="s">
        <v>29</v>
      </c>
      <c r="G57" t="s">
        <v>30</v>
      </c>
      <c r="H57" t="s">
        <v>31</v>
      </c>
      <c r="I57" t="s">
        <v>32</v>
      </c>
      <c r="J57" t="s">
        <v>33</v>
      </c>
      <c r="K57" t="s">
        <v>34</v>
      </c>
      <c r="L57" t="s">
        <v>35</v>
      </c>
      <c r="M57" t="s">
        <v>36</v>
      </c>
      <c r="N57" t="s">
        <v>37</v>
      </c>
      <c r="O57" t="s">
        <v>38</v>
      </c>
      <c r="P57" t="s">
        <v>39</v>
      </c>
      <c r="T57" s="1"/>
    </row>
    <row r="58" spans="1:24">
      <c r="A58">
        <v>99.975616945245903</v>
      </c>
      <c r="B58">
        <v>0.29164398290426402</v>
      </c>
      <c r="C58">
        <v>0.28069912648607698</v>
      </c>
      <c r="D58">
        <v>0.36948535208602601</v>
      </c>
      <c r="E58">
        <v>0.44222142790197699</v>
      </c>
      <c r="F58">
        <v>0.41103836208255801</v>
      </c>
      <c r="G58">
        <v>0.50370928069124199</v>
      </c>
      <c r="H58">
        <v>0.39430581509512103</v>
      </c>
      <c r="I58">
        <v>0.37869548421683302</v>
      </c>
      <c r="J58">
        <v>0.47247209170319399</v>
      </c>
      <c r="K58">
        <v>1.1976139583278599E-3</v>
      </c>
      <c r="L58">
        <v>0</v>
      </c>
      <c r="M58">
        <v>0.47001098173133998</v>
      </c>
      <c r="N58">
        <v>11.688729808326601</v>
      </c>
      <c r="O58">
        <v>5.0799881207779896</v>
      </c>
      <c r="P58">
        <v>12.2999712373168</v>
      </c>
      <c r="T58" s="1"/>
    </row>
    <row r="59" spans="1:24">
      <c r="T59" s="2"/>
    </row>
    <row r="60" spans="1:24">
      <c r="A60" t="s">
        <v>6</v>
      </c>
      <c r="B60" t="s">
        <v>43</v>
      </c>
      <c r="C60" t="s">
        <v>44</v>
      </c>
      <c r="D60" t="s">
        <v>45</v>
      </c>
      <c r="E60" t="s">
        <v>46</v>
      </c>
      <c r="F60" t="s">
        <v>47</v>
      </c>
      <c r="G60" t="s">
        <v>48</v>
      </c>
      <c r="H60" t="s">
        <v>49</v>
      </c>
      <c r="I60" t="s">
        <v>50</v>
      </c>
      <c r="J60" t="s">
        <v>51</v>
      </c>
      <c r="K60" t="s">
        <v>52</v>
      </c>
      <c r="L60" t="s">
        <v>53</v>
      </c>
      <c r="M60" t="s">
        <v>54</v>
      </c>
      <c r="N60" t="s">
        <v>55</v>
      </c>
      <c r="O60" t="s">
        <v>56</v>
      </c>
      <c r="P60" t="s">
        <v>57</v>
      </c>
      <c r="T60" s="2"/>
    </row>
    <row r="61" spans="1:24">
      <c r="A61">
        <v>99.975616945245903</v>
      </c>
      <c r="B61">
        <v>0.53343479660722903</v>
      </c>
      <c r="C61">
        <v>0.36186181451231397</v>
      </c>
      <c r="D61">
        <v>0.58348246665195003</v>
      </c>
      <c r="E61">
        <v>0.56621904934243605</v>
      </c>
      <c r="F61">
        <v>0.50667946453911805</v>
      </c>
      <c r="G61">
        <v>0.60762432594367799</v>
      </c>
      <c r="H61">
        <v>0.58828520262059503</v>
      </c>
      <c r="I61">
        <v>0.47868050518747401</v>
      </c>
      <c r="J61">
        <v>0.63856981804421098</v>
      </c>
      <c r="K61">
        <v>0</v>
      </c>
      <c r="L61">
        <v>0</v>
      </c>
      <c r="M61">
        <v>0</v>
      </c>
      <c r="N61">
        <v>0.31796574591877502</v>
      </c>
      <c r="O61">
        <v>0</v>
      </c>
      <c r="P61">
        <v>3.94999076320335</v>
      </c>
    </row>
    <row r="62" spans="1:24">
      <c r="A62" s="2"/>
    </row>
    <row r="63" spans="1:24">
      <c r="A63" t="s">
        <v>6</v>
      </c>
      <c r="B63" t="s">
        <v>60</v>
      </c>
      <c r="C63" t="s">
        <v>61</v>
      </c>
      <c r="D63" t="s">
        <v>62</v>
      </c>
      <c r="E63" t="s">
        <v>63</v>
      </c>
      <c r="F63" t="s">
        <v>64</v>
      </c>
      <c r="G63" t="s">
        <v>65</v>
      </c>
      <c r="H63" t="s">
        <v>66</v>
      </c>
      <c r="I63" t="s">
        <v>67</v>
      </c>
      <c r="J63" t="s">
        <v>68</v>
      </c>
      <c r="K63" t="s">
        <v>69</v>
      </c>
      <c r="L63" t="s">
        <v>70</v>
      </c>
      <c r="M63" t="s">
        <v>71</v>
      </c>
      <c r="N63" t="s">
        <v>72</v>
      </c>
      <c r="O63" t="s">
        <v>73</v>
      </c>
      <c r="P63" t="s">
        <v>74</v>
      </c>
    </row>
    <row r="64" spans="1:24">
      <c r="A64">
        <v>99.975616945245903</v>
      </c>
      <c r="B64">
        <v>0.294662890610767</v>
      </c>
      <c r="C64">
        <v>0.27464838699504901</v>
      </c>
      <c r="D64">
        <v>0.46705796095991903</v>
      </c>
      <c r="E64">
        <v>0.53532373514300102</v>
      </c>
      <c r="F64">
        <v>0.51545402226356696</v>
      </c>
      <c r="G64">
        <v>0.56764411402983195</v>
      </c>
      <c r="H64">
        <v>0.44963384010486401</v>
      </c>
      <c r="I64">
        <v>0.42925956292769002</v>
      </c>
      <c r="J64">
        <v>0.56445515751631903</v>
      </c>
      <c r="K64">
        <v>0.30916964234266198</v>
      </c>
      <c r="L64">
        <v>0</v>
      </c>
      <c r="M64">
        <v>0.38000887884661599</v>
      </c>
      <c r="N64">
        <v>12.083647405346101</v>
      </c>
      <c r="O64">
        <v>0.74999824617785404</v>
      </c>
      <c r="P64">
        <v>12.7699701382549</v>
      </c>
    </row>
    <row r="66" spans="1:20">
      <c r="A66" s="3" t="s">
        <v>89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20">
      <c r="A67" s="4" t="s">
        <v>6</v>
      </c>
      <c r="B67" s="4" t="s">
        <v>7</v>
      </c>
      <c r="C67" s="4" t="s">
        <v>8</v>
      </c>
      <c r="D67" s="4" t="s">
        <v>9</v>
      </c>
      <c r="E67" s="4" t="s">
        <v>10</v>
      </c>
      <c r="F67" s="4" t="s">
        <v>11</v>
      </c>
      <c r="G67" s="4" t="s">
        <v>12</v>
      </c>
      <c r="H67" s="4" t="s">
        <v>13</v>
      </c>
      <c r="I67" s="4" t="s">
        <v>14</v>
      </c>
      <c r="J67" s="4" t="s">
        <v>15</v>
      </c>
      <c r="K67" s="4" t="s">
        <v>16</v>
      </c>
      <c r="L67" s="4" t="s">
        <v>17</v>
      </c>
      <c r="M67" s="4" t="s">
        <v>18</v>
      </c>
      <c r="N67" s="4" t="s">
        <v>19</v>
      </c>
      <c r="O67" s="4" t="s">
        <v>20</v>
      </c>
      <c r="P67" s="4" t="s">
        <v>21</v>
      </c>
      <c r="Q67" s="1"/>
    </row>
    <row r="68" spans="1:20">
      <c r="A68" s="1">
        <v>99.9857631</v>
      </c>
      <c r="B68" s="1">
        <v>0.22920172</v>
      </c>
      <c r="C68" s="1">
        <v>0.13834119</v>
      </c>
      <c r="D68" s="1">
        <v>0.29076267</v>
      </c>
      <c r="E68" s="1">
        <v>0.48424808000000003</v>
      </c>
      <c r="F68" s="1">
        <v>0.46063472</v>
      </c>
      <c r="G68" s="1">
        <v>0.51928746999999997</v>
      </c>
      <c r="H68" s="1">
        <v>0.35661593000000003</v>
      </c>
      <c r="I68" s="1">
        <v>0.22453959000000001</v>
      </c>
      <c r="J68" s="1">
        <v>0.42346109999999998</v>
      </c>
      <c r="K68" s="1">
        <v>2.7777894500000002</v>
      </c>
      <c r="L68" s="1">
        <v>1.8100422899999999</v>
      </c>
      <c r="M68" s="1">
        <v>3.2100749999999998</v>
      </c>
      <c r="N68" s="1">
        <v>10.184211899999999</v>
      </c>
      <c r="O68" s="1">
        <v>0.49999883000000001</v>
      </c>
      <c r="P68" s="1">
        <v>19.229955</v>
      </c>
      <c r="Q68" s="1"/>
    </row>
    <row r="70" spans="1:20">
      <c r="A70" t="s">
        <v>6</v>
      </c>
      <c r="B70" t="s">
        <v>25</v>
      </c>
      <c r="C70" t="s">
        <v>26</v>
      </c>
      <c r="D70" t="s">
        <v>27</v>
      </c>
      <c r="E70" t="s">
        <v>28</v>
      </c>
      <c r="F70" t="s">
        <v>29</v>
      </c>
      <c r="G70" t="s">
        <v>30</v>
      </c>
      <c r="H70" t="s">
        <v>31</v>
      </c>
      <c r="I70" t="s">
        <v>32</v>
      </c>
      <c r="J70" t="s">
        <v>33</v>
      </c>
      <c r="K70" t="s">
        <v>34</v>
      </c>
      <c r="L70" t="s">
        <v>35</v>
      </c>
      <c r="M70" t="s">
        <v>36</v>
      </c>
      <c r="N70" t="s">
        <v>37</v>
      </c>
      <c r="O70" t="s">
        <v>38</v>
      </c>
      <c r="P70" t="s">
        <v>39</v>
      </c>
    </row>
    <row r="71" spans="1:20">
      <c r="A71">
        <v>99.985763124531502</v>
      </c>
      <c r="B71">
        <v>0.28287371054328397</v>
      </c>
      <c r="C71">
        <v>0.27182799344076097</v>
      </c>
      <c r="D71">
        <v>0.31994812525622002</v>
      </c>
      <c r="E71">
        <v>0.42871975793830502</v>
      </c>
      <c r="F71">
        <v>0.407151698148907</v>
      </c>
      <c r="G71">
        <v>0.45932010974109899</v>
      </c>
      <c r="H71">
        <v>0.38337904998837002</v>
      </c>
      <c r="I71">
        <v>0.37338778341900197</v>
      </c>
      <c r="J71">
        <v>0.40926650058339298</v>
      </c>
      <c r="K71">
        <v>2.56343508377625E-3</v>
      </c>
      <c r="L71">
        <v>0</v>
      </c>
      <c r="M71">
        <v>0.47001098173133998</v>
      </c>
      <c r="N71">
        <v>12.336408742825199</v>
      </c>
      <c r="O71">
        <v>9.9799766624733106</v>
      </c>
      <c r="P71">
        <v>12.6599703954821</v>
      </c>
    </row>
    <row r="72" spans="1:20">
      <c r="A72" s="2"/>
    </row>
    <row r="73" spans="1:20">
      <c r="A73" s="1" t="s">
        <v>6</v>
      </c>
      <c r="B73" s="1" t="s">
        <v>43</v>
      </c>
      <c r="C73" s="1" t="s">
        <v>44</v>
      </c>
      <c r="D73" s="1" t="s">
        <v>45</v>
      </c>
      <c r="E73" s="1" t="s">
        <v>46</v>
      </c>
      <c r="F73" s="1" t="s">
        <v>47</v>
      </c>
      <c r="G73" s="1" t="s">
        <v>48</v>
      </c>
      <c r="H73" s="1" t="s">
        <v>49</v>
      </c>
      <c r="I73" s="1" t="s">
        <v>50</v>
      </c>
      <c r="J73" s="1" t="s">
        <v>51</v>
      </c>
      <c r="K73" s="1" t="s">
        <v>52</v>
      </c>
      <c r="L73" s="1" t="s">
        <v>53</v>
      </c>
      <c r="M73" s="1" t="s">
        <v>54</v>
      </c>
      <c r="N73" s="1" t="s">
        <v>55</v>
      </c>
      <c r="O73" s="1" t="s">
        <v>56</v>
      </c>
      <c r="P73" s="1" t="s">
        <v>57</v>
      </c>
      <c r="Q73" s="1"/>
    </row>
    <row r="74" spans="1:20">
      <c r="A74" s="1">
        <v>99.9857631</v>
      </c>
      <c r="B74" s="1">
        <v>0.53212698999999997</v>
      </c>
      <c r="C74" s="1">
        <v>0.41722312</v>
      </c>
      <c r="D74" s="1">
        <v>0.59329372999999996</v>
      </c>
      <c r="E74" s="1">
        <v>0.55431942000000001</v>
      </c>
      <c r="F74" s="1">
        <v>0.52329042000000003</v>
      </c>
      <c r="G74" s="1">
        <v>0.59367608999999999</v>
      </c>
      <c r="H74" s="1">
        <v>0.58308190000000004</v>
      </c>
      <c r="I74" s="1">
        <v>0.51080460999999999</v>
      </c>
      <c r="J74" s="1">
        <v>0.63701476000000001</v>
      </c>
      <c r="K74" s="1">
        <v>0</v>
      </c>
      <c r="L74" s="1">
        <v>0</v>
      </c>
      <c r="M74" s="1">
        <v>0</v>
      </c>
      <c r="N74" s="1">
        <v>0.27870506</v>
      </c>
      <c r="O74" s="1">
        <v>0</v>
      </c>
      <c r="P74" s="1">
        <v>2.6399938299999999</v>
      </c>
      <c r="Q74" s="1"/>
    </row>
    <row r="76" spans="1:20">
      <c r="A76" t="s">
        <v>6</v>
      </c>
      <c r="B76" t="s">
        <v>60</v>
      </c>
      <c r="C76" t="s">
        <v>61</v>
      </c>
      <c r="D76" t="s">
        <v>62</v>
      </c>
      <c r="E76" t="s">
        <v>63</v>
      </c>
      <c r="F76" t="s">
        <v>64</v>
      </c>
      <c r="G76" t="s">
        <v>65</v>
      </c>
      <c r="H76" t="s">
        <v>66</v>
      </c>
      <c r="I76" t="s">
        <v>67</v>
      </c>
      <c r="J76" t="s">
        <v>68</v>
      </c>
      <c r="K76" t="s">
        <v>69</v>
      </c>
      <c r="L76" t="s">
        <v>70</v>
      </c>
      <c r="M76" t="s">
        <v>71</v>
      </c>
      <c r="N76" t="s">
        <v>72</v>
      </c>
      <c r="O76" t="s">
        <v>73</v>
      </c>
      <c r="P76" t="s">
        <v>74</v>
      </c>
      <c r="Q76" s="1"/>
      <c r="T76" s="2"/>
    </row>
    <row r="77" spans="1:20">
      <c r="A77">
        <v>99.985763124531502</v>
      </c>
      <c r="B77">
        <v>0.27186227382765699</v>
      </c>
      <c r="C77">
        <v>0.19926247989656501</v>
      </c>
      <c r="D77">
        <v>0.38733010627227099</v>
      </c>
      <c r="E77">
        <v>0.427249824286484</v>
      </c>
      <c r="F77">
        <v>0.38678021822080599</v>
      </c>
      <c r="G77">
        <v>0.46209714294724202</v>
      </c>
      <c r="H77">
        <v>0.33048153026259902</v>
      </c>
      <c r="I77">
        <v>0.262759767903881</v>
      </c>
      <c r="J77">
        <v>0.41714034562139302</v>
      </c>
      <c r="K77">
        <v>5.1534300997837401E-2</v>
      </c>
      <c r="L77">
        <v>1.00002336538611E-2</v>
      </c>
      <c r="M77">
        <v>8.0001869230862402E-2</v>
      </c>
      <c r="N77">
        <v>11.656141527632199</v>
      </c>
      <c r="O77">
        <v>7.2701698663549097</v>
      </c>
      <c r="P77">
        <v>13.2103086567466</v>
      </c>
      <c r="Q77" s="1"/>
      <c r="T77" s="2"/>
    </row>
    <row r="79" spans="1:20">
      <c r="A79" s="3" t="s">
        <v>90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T79" s="2"/>
    </row>
    <row r="80" spans="1:20">
      <c r="A80" s="1" t="s">
        <v>6</v>
      </c>
      <c r="B80" s="1" t="s">
        <v>7</v>
      </c>
      <c r="C80" s="1" t="s">
        <v>8</v>
      </c>
      <c r="D80" s="1" t="s">
        <v>9</v>
      </c>
      <c r="E80" s="1" t="s">
        <v>10</v>
      </c>
      <c r="F80" s="1" t="s">
        <v>11</v>
      </c>
      <c r="G80" s="1" t="s">
        <v>12</v>
      </c>
      <c r="H80" s="1" t="s">
        <v>13</v>
      </c>
      <c r="I80" s="1" t="s">
        <v>14</v>
      </c>
      <c r="J80" s="1" t="s">
        <v>15</v>
      </c>
      <c r="K80" s="1" t="s">
        <v>16</v>
      </c>
      <c r="L80" s="1" t="s">
        <v>17</v>
      </c>
      <c r="M80" s="1" t="s">
        <v>18</v>
      </c>
      <c r="N80" s="1" t="s">
        <v>19</v>
      </c>
      <c r="O80" s="1" t="s">
        <v>20</v>
      </c>
      <c r="P80" s="1" t="s">
        <v>21</v>
      </c>
      <c r="T80" s="2"/>
    </row>
    <row r="81" spans="1:20">
      <c r="A81" s="1">
        <v>99.959643900000003</v>
      </c>
      <c r="B81" s="1">
        <v>0.20289591000000001</v>
      </c>
      <c r="C81" s="1">
        <v>0.20174979000000001</v>
      </c>
      <c r="D81" s="1">
        <v>0.27729336999999998</v>
      </c>
      <c r="E81" s="1">
        <v>0.36438995000000002</v>
      </c>
      <c r="F81" s="1">
        <v>0.32297152000000001</v>
      </c>
      <c r="G81" s="1">
        <v>0.37550653000000001</v>
      </c>
      <c r="H81" s="1">
        <v>0.29751949</v>
      </c>
      <c r="I81" s="1">
        <v>0.28813739999999999</v>
      </c>
      <c r="J81" s="1">
        <v>0.33056155999999998</v>
      </c>
      <c r="K81" s="1">
        <v>0.85663409000000001</v>
      </c>
      <c r="L81" s="1">
        <v>0</v>
      </c>
      <c r="M81" s="1">
        <v>0.93002172999999999</v>
      </c>
      <c r="N81" s="1">
        <v>16.3919712</v>
      </c>
      <c r="O81" s="1">
        <v>9.6199774999999992</v>
      </c>
      <c r="P81" s="1">
        <v>16.759960800000002</v>
      </c>
    </row>
    <row r="83" spans="1:20">
      <c r="A83" t="s">
        <v>6</v>
      </c>
      <c r="B83" t="s">
        <v>25</v>
      </c>
      <c r="C83" t="s">
        <v>26</v>
      </c>
      <c r="D83" t="s">
        <v>27</v>
      </c>
      <c r="E83" t="s">
        <v>28</v>
      </c>
      <c r="F83" t="s">
        <v>29</v>
      </c>
      <c r="G83" t="s">
        <v>30</v>
      </c>
      <c r="H83" t="s">
        <v>31</v>
      </c>
      <c r="I83" t="s">
        <v>32</v>
      </c>
      <c r="J83" t="s">
        <v>33</v>
      </c>
      <c r="K83" t="s">
        <v>34</v>
      </c>
      <c r="L83" t="s">
        <v>35</v>
      </c>
      <c r="M83" t="s">
        <v>36</v>
      </c>
      <c r="N83" t="s">
        <v>37</v>
      </c>
      <c r="O83" t="s">
        <v>38</v>
      </c>
      <c r="P83" t="s">
        <v>39</v>
      </c>
    </row>
    <row r="84" spans="1:20">
      <c r="A84">
        <v>99.959643921037198</v>
      </c>
      <c r="B84">
        <v>0.24319558045831499</v>
      </c>
      <c r="C84">
        <v>0.231291980700703</v>
      </c>
      <c r="D84">
        <v>0.41457025953139198</v>
      </c>
      <c r="E84">
        <v>0.38086012513925599</v>
      </c>
      <c r="F84">
        <v>0.36586870486581902</v>
      </c>
      <c r="G84">
        <v>0.420898899435527</v>
      </c>
      <c r="H84">
        <v>0.34013280844399502</v>
      </c>
      <c r="I84">
        <v>0.32953667497083</v>
      </c>
      <c r="J84">
        <v>0.455953769985178</v>
      </c>
      <c r="K84">
        <v>0.77893752011547701</v>
      </c>
      <c r="L84">
        <v>0</v>
      </c>
      <c r="M84">
        <v>0.86002009423180403</v>
      </c>
      <c r="N84">
        <v>15.885258199385101</v>
      </c>
      <c r="O84">
        <v>1.3899967495829499</v>
      </c>
      <c r="P84">
        <v>16.669961018379698</v>
      </c>
    </row>
    <row r="85" spans="1:20">
      <c r="A85" s="2"/>
    </row>
    <row r="86" spans="1:20">
      <c r="A86" t="s">
        <v>6</v>
      </c>
      <c r="B86" t="s">
        <v>43</v>
      </c>
      <c r="C86" t="s">
        <v>44</v>
      </c>
      <c r="D86" t="s">
        <v>45</v>
      </c>
      <c r="E86" t="s">
        <v>46</v>
      </c>
      <c r="F86" t="s">
        <v>47</v>
      </c>
      <c r="G86" t="s">
        <v>48</v>
      </c>
      <c r="H86" t="s">
        <v>49</v>
      </c>
      <c r="I86" t="s">
        <v>50</v>
      </c>
      <c r="J86" t="s">
        <v>51</v>
      </c>
      <c r="K86" t="s">
        <v>52</v>
      </c>
      <c r="L86" t="s">
        <v>53</v>
      </c>
      <c r="M86" t="s">
        <v>54</v>
      </c>
      <c r="N86" t="s">
        <v>55</v>
      </c>
      <c r="O86" t="s">
        <v>56</v>
      </c>
      <c r="P86" t="s">
        <v>57</v>
      </c>
    </row>
    <row r="87" spans="1:20">
      <c r="A87">
        <v>99.959643921037198</v>
      </c>
      <c r="B87">
        <v>0.30275984711917803</v>
      </c>
      <c r="C87">
        <v>0.233430434234177</v>
      </c>
      <c r="D87">
        <v>0.361987953706915</v>
      </c>
      <c r="E87">
        <v>0.47315802073187402</v>
      </c>
      <c r="F87">
        <v>0.44109693797105098</v>
      </c>
      <c r="G87">
        <v>0.49596157484784398</v>
      </c>
      <c r="H87">
        <v>0.430143215128025</v>
      </c>
      <c r="I87">
        <v>0.371408974803695</v>
      </c>
      <c r="J87">
        <v>0.464073980637633</v>
      </c>
      <c r="K87">
        <v>0.103601332368626</v>
      </c>
      <c r="L87">
        <v>0</v>
      </c>
      <c r="M87">
        <v>0.39000911250046399</v>
      </c>
      <c r="N87">
        <v>7.2367763669255503</v>
      </c>
      <c r="O87">
        <v>2.84999333547584</v>
      </c>
      <c r="P87">
        <v>14.7399655315487</v>
      </c>
    </row>
    <row r="89" spans="1:20">
      <c r="A89" t="s">
        <v>6</v>
      </c>
      <c r="B89" t="s">
        <v>60</v>
      </c>
      <c r="C89" t="s">
        <v>61</v>
      </c>
      <c r="D89" t="s">
        <v>62</v>
      </c>
      <c r="E89" t="s">
        <v>63</v>
      </c>
      <c r="F89" t="s">
        <v>64</v>
      </c>
      <c r="G89" t="s">
        <v>65</v>
      </c>
      <c r="H89" t="s">
        <v>66</v>
      </c>
      <c r="I89" t="s">
        <v>67</v>
      </c>
      <c r="J89" t="s">
        <v>68</v>
      </c>
      <c r="K89" t="s">
        <v>69</v>
      </c>
      <c r="L89" t="s">
        <v>70</v>
      </c>
      <c r="M89" t="s">
        <v>71</v>
      </c>
      <c r="N89" t="s">
        <v>72</v>
      </c>
      <c r="O89" t="s">
        <v>73</v>
      </c>
      <c r="P89" t="s">
        <v>74</v>
      </c>
      <c r="T89" s="2"/>
    </row>
    <row r="90" spans="1:20">
      <c r="A90">
        <v>99.959643921037198</v>
      </c>
      <c r="B90">
        <v>0.28686679536694398</v>
      </c>
      <c r="C90">
        <v>0.25515988142915702</v>
      </c>
      <c r="D90">
        <v>0.34606485131342402</v>
      </c>
      <c r="E90">
        <v>0.45727309447492698</v>
      </c>
      <c r="F90">
        <v>0.42601344959162402</v>
      </c>
      <c r="G90">
        <v>0.47069431742928303</v>
      </c>
      <c r="H90">
        <v>0.392636751844742</v>
      </c>
      <c r="I90">
        <v>0.36853536627668598</v>
      </c>
      <c r="J90">
        <v>0.43497721610797502</v>
      </c>
      <c r="K90">
        <v>4.31029701774232E-3</v>
      </c>
      <c r="L90">
        <v>0</v>
      </c>
      <c r="M90">
        <v>0.34000794423117198</v>
      </c>
      <c r="N90">
        <v>7.1875631167161798</v>
      </c>
      <c r="O90">
        <v>1.6799960714383899</v>
      </c>
      <c r="P90">
        <v>13.1099693431888</v>
      </c>
      <c r="T90" s="2"/>
    </row>
    <row r="92" spans="1:20">
      <c r="A92" s="3" t="s">
        <v>91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T92" s="2"/>
    </row>
    <row r="93" spans="1:20">
      <c r="A93" s="1" t="s">
        <v>6</v>
      </c>
      <c r="B93" s="1" t="s">
        <v>7</v>
      </c>
      <c r="C93" s="1" t="s">
        <v>8</v>
      </c>
      <c r="D93" s="1" t="s">
        <v>9</v>
      </c>
      <c r="E93" s="1" t="s">
        <v>10</v>
      </c>
      <c r="F93" s="1" t="s">
        <v>11</v>
      </c>
      <c r="G93" s="1" t="s">
        <v>12</v>
      </c>
      <c r="H93" s="1" t="s">
        <v>13</v>
      </c>
      <c r="I93" s="1" t="s">
        <v>14</v>
      </c>
      <c r="J93" s="1" t="s">
        <v>15</v>
      </c>
      <c r="K93" s="1" t="s">
        <v>16</v>
      </c>
      <c r="L93" s="1" t="s">
        <v>17</v>
      </c>
      <c r="M93" s="1" t="s">
        <v>18</v>
      </c>
      <c r="N93" s="1" t="s">
        <v>19</v>
      </c>
      <c r="O93" s="1" t="s">
        <v>20</v>
      </c>
      <c r="P93" s="1" t="s">
        <v>21</v>
      </c>
      <c r="T93" s="2"/>
    </row>
    <row r="94" spans="1:20">
      <c r="A94" s="1">
        <v>99.973172899999994</v>
      </c>
      <c r="B94" s="1">
        <v>0.25641494999999997</v>
      </c>
      <c r="C94" s="1">
        <v>0.24953880000000001</v>
      </c>
      <c r="D94" s="1">
        <v>0.29060893999999998</v>
      </c>
      <c r="E94" s="1">
        <v>0.32942316999999999</v>
      </c>
      <c r="F94" s="1">
        <v>0.32855712999999998</v>
      </c>
      <c r="G94" s="1">
        <v>0.33736716</v>
      </c>
      <c r="H94" s="1">
        <v>0.31713148000000002</v>
      </c>
      <c r="I94" s="1">
        <v>0.31283308999999998</v>
      </c>
      <c r="J94" s="1">
        <v>0.33351203000000001</v>
      </c>
      <c r="K94" s="1">
        <v>1.7524109999999999E-2</v>
      </c>
      <c r="L94" s="1">
        <v>0</v>
      </c>
      <c r="M94" s="1">
        <v>3.0000700000000002E-2</v>
      </c>
      <c r="N94" s="1">
        <v>13.5496309</v>
      </c>
      <c r="O94" s="1">
        <v>6.37998508</v>
      </c>
      <c r="P94" s="1">
        <v>13.859967599999999</v>
      </c>
    </row>
    <row r="95" spans="1:20">
      <c r="T95" s="2"/>
    </row>
    <row r="96" spans="1:20">
      <c r="A96" t="s">
        <v>6</v>
      </c>
      <c r="B96" t="s">
        <v>25</v>
      </c>
      <c r="C96" t="s">
        <v>26</v>
      </c>
      <c r="D96" t="s">
        <v>27</v>
      </c>
      <c r="E96" t="s">
        <v>28</v>
      </c>
      <c r="F96" t="s">
        <v>29</v>
      </c>
      <c r="G96" t="s">
        <v>30</v>
      </c>
      <c r="H96" t="s">
        <v>31</v>
      </c>
      <c r="I96" t="s">
        <v>32</v>
      </c>
      <c r="J96" t="s">
        <v>33</v>
      </c>
      <c r="K96" t="s">
        <v>34</v>
      </c>
      <c r="L96" t="s">
        <v>35</v>
      </c>
      <c r="M96" t="s">
        <v>36</v>
      </c>
      <c r="N96" t="s">
        <v>37</v>
      </c>
      <c r="O96" t="s">
        <v>38</v>
      </c>
      <c r="P96" t="s">
        <v>39</v>
      </c>
      <c r="T96" s="2"/>
    </row>
    <row r="97" spans="1:20">
      <c r="A97">
        <v>99.973172924037797</v>
      </c>
      <c r="B97">
        <v>0.31704119186367102</v>
      </c>
      <c r="C97">
        <v>0.30968946107029099</v>
      </c>
      <c r="D97">
        <v>0.31818020560688698</v>
      </c>
      <c r="E97">
        <v>0.38899362663404902</v>
      </c>
      <c r="F97">
        <v>0.38796868594493999</v>
      </c>
      <c r="G97">
        <v>0.39944341080382201</v>
      </c>
      <c r="H97">
        <v>0.38284335332269498</v>
      </c>
      <c r="I97">
        <v>0.380946280470499</v>
      </c>
      <c r="J97">
        <v>0.38357943615779999</v>
      </c>
      <c r="K97">
        <v>1.12620592029147E-4</v>
      </c>
      <c r="L97">
        <v>0</v>
      </c>
      <c r="M97">
        <v>1.00002336538611E-2</v>
      </c>
      <c r="N97">
        <v>8.8976464475347008</v>
      </c>
      <c r="O97">
        <v>7.15998325684457</v>
      </c>
      <c r="P97">
        <v>9.5999775510765204</v>
      </c>
      <c r="T97" s="2"/>
    </row>
    <row r="99" spans="1:20">
      <c r="A99" t="s">
        <v>6</v>
      </c>
      <c r="B99" t="s">
        <v>43</v>
      </c>
      <c r="C99" t="s">
        <v>44</v>
      </c>
      <c r="D99" t="s">
        <v>45</v>
      </c>
      <c r="E99" t="s">
        <v>46</v>
      </c>
      <c r="F99" t="s">
        <v>47</v>
      </c>
      <c r="G99" t="s">
        <v>48</v>
      </c>
      <c r="H99" t="s">
        <v>49</v>
      </c>
      <c r="I99" t="s">
        <v>50</v>
      </c>
      <c r="J99" t="s">
        <v>51</v>
      </c>
      <c r="K99" t="s">
        <v>52</v>
      </c>
      <c r="L99" t="s">
        <v>53</v>
      </c>
      <c r="M99" t="s">
        <v>54</v>
      </c>
      <c r="N99" t="s">
        <v>55</v>
      </c>
      <c r="O99" t="s">
        <v>56</v>
      </c>
      <c r="P99" t="s">
        <v>57</v>
      </c>
    </row>
    <row r="100" spans="1:20">
      <c r="A100">
        <v>99.973172924037797</v>
      </c>
      <c r="B100">
        <v>0.35026886819955499</v>
      </c>
      <c r="C100">
        <v>0.34742873135504998</v>
      </c>
      <c r="D100">
        <v>0.37002735643782902</v>
      </c>
      <c r="E100">
        <v>0.48451476031873097</v>
      </c>
      <c r="F100">
        <v>0.48359993377692201</v>
      </c>
      <c r="G100">
        <v>0.49301110024912398</v>
      </c>
      <c r="H100">
        <v>0.452850376594643</v>
      </c>
      <c r="I100">
        <v>0.45030312825202601</v>
      </c>
      <c r="J100">
        <v>0.469584686701775</v>
      </c>
      <c r="K100">
        <v>0</v>
      </c>
      <c r="L100">
        <v>0</v>
      </c>
      <c r="M100">
        <v>0</v>
      </c>
      <c r="N100">
        <v>4.2698389359416398</v>
      </c>
      <c r="O100">
        <v>3.4199920025710102</v>
      </c>
      <c r="P100">
        <v>4.7099889859969197</v>
      </c>
    </row>
    <row r="102" spans="1:20">
      <c r="A102" t="s">
        <v>6</v>
      </c>
      <c r="B102" t="s">
        <v>60</v>
      </c>
      <c r="C102" t="s">
        <v>61</v>
      </c>
      <c r="D102" t="s">
        <v>62</v>
      </c>
      <c r="E102" t="s">
        <v>63</v>
      </c>
      <c r="F102" t="s">
        <v>64</v>
      </c>
      <c r="G102" t="s">
        <v>65</v>
      </c>
      <c r="H102" t="s">
        <v>66</v>
      </c>
      <c r="I102" t="s">
        <v>67</v>
      </c>
      <c r="J102" t="s">
        <v>68</v>
      </c>
      <c r="K102" t="s">
        <v>69</v>
      </c>
      <c r="L102" t="s">
        <v>70</v>
      </c>
      <c r="M102" t="s">
        <v>71</v>
      </c>
      <c r="N102" t="s">
        <v>72</v>
      </c>
      <c r="O102" t="s">
        <v>73</v>
      </c>
      <c r="P102" t="s">
        <v>74</v>
      </c>
    </row>
    <row r="103" spans="1:20">
      <c r="A103">
        <v>99.973172924037797</v>
      </c>
      <c r="B103">
        <v>0.35794270761287</v>
      </c>
      <c r="C103">
        <v>0.34272807543123801</v>
      </c>
      <c r="D103">
        <v>0.35995593011888599</v>
      </c>
      <c r="E103">
        <v>0.46028470678470501</v>
      </c>
      <c r="F103">
        <v>0.45767241651161999</v>
      </c>
      <c r="G103">
        <v>0.460940210021759</v>
      </c>
      <c r="H103">
        <v>0.44737310309502099</v>
      </c>
      <c r="I103">
        <v>0.43564338872946201</v>
      </c>
      <c r="J103">
        <v>0.44873624294408798</v>
      </c>
      <c r="K103">
        <v>0.371590639618465</v>
      </c>
      <c r="L103">
        <v>0.32000747692346299</v>
      </c>
      <c r="M103">
        <v>0.40000934615432499</v>
      </c>
      <c r="N103">
        <v>4.68637856739723</v>
      </c>
      <c r="O103">
        <v>4.4799895238357097</v>
      </c>
      <c r="P103">
        <v>4.9499884247738297</v>
      </c>
    </row>
    <row r="105" spans="1:20">
      <c r="T105" s="2"/>
    </row>
    <row r="106" spans="1:20">
      <c r="T106" s="2"/>
    </row>
    <row r="107" spans="1:20">
      <c r="T107" s="2"/>
    </row>
    <row r="108" spans="1:20">
      <c r="T108" s="2"/>
    </row>
    <row r="109" spans="1:20">
      <c r="T109" s="2"/>
    </row>
    <row r="111" spans="1:20">
      <c r="T111" s="2"/>
    </row>
    <row r="112" spans="1:20">
      <c r="T112" s="2"/>
    </row>
    <row r="118" spans="20:35">
      <c r="T118" s="2"/>
    </row>
    <row r="119" spans="20:35">
      <c r="T119" s="2"/>
    </row>
    <row r="120" spans="20:35">
      <c r="T120" s="2"/>
    </row>
    <row r="121" spans="20:35">
      <c r="T121" s="2"/>
    </row>
    <row r="122" spans="20:35">
      <c r="T122" s="2"/>
    </row>
    <row r="128" spans="20:35"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20:35"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- 5 A radii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Moulton</dc:creator>
  <cp:lastModifiedBy>Kara Moulton</cp:lastModifiedBy>
  <dcterms:created xsi:type="dcterms:W3CDTF">2026-09-23T15:52:27Z</dcterms:created>
  <dcterms:modified xsi:type="dcterms:W3CDTF">2026-09-23T16:01:52Z</dcterms:modified>
</cp:coreProperties>
</file>